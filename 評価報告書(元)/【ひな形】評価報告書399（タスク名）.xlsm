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mc:AlternateContent xmlns:mc="http://schemas.openxmlformats.org/markup-compatibility/2006">
    <mc:Choice Requires="x15">
      <x15ac:absPath xmlns:x15ac="http://schemas.microsoft.com/office/spreadsheetml/2010/11/ac" url="\\ndesktop\DRIVE0\【対応確定】R02年42期対応\2030_NEXT3月版\02_設計書・評価報告書類\04_結合テスト\4KG\"/>
    </mc:Choice>
  </mc:AlternateContent>
  <xr:revisionPtr revIDLastSave="0" documentId="13_ncr:1_{B02967D0-1BCA-4975-A459-13AAA1F3524E}" xr6:coauthVersionLast="45" xr6:coauthVersionMax="45" xr10:uidLastSave="{00000000-0000-0000-0000-000000000000}"/>
  <bookViews>
    <workbookView xWindow="2415" yWindow="525" windowWidth="25110" windowHeight="14280" tabRatio="911" xr2:uid="{00000000-000D-0000-FFFF-FFFF00000000}"/>
  </bookViews>
  <sheets>
    <sheet name="評価項目" sheetId="3" r:id="rId1"/>
    <sheet name="評価時間" sheetId="26" r:id="rId2"/>
    <sheet name="ランク判定" sheetId="16556" r:id="rId3"/>
    <sheet name="評価観点" sheetId="16557" r:id="rId4"/>
    <sheet name="ﾘｽﾄﾃﾞｰﾀ" sheetId="1" state="hidden" r:id="rId5"/>
  </sheets>
  <functionGroups builtInGroupCount="19"/>
  <externalReferences>
    <externalReference r:id="rId6"/>
    <externalReference r:id="rId7"/>
  </externalReferences>
  <definedNames>
    <definedName name="_xlnm._FilterDatabase" localSheetId="0" hidden="1">評価項目!$A$1:$A$40</definedName>
    <definedName name="_xlnm.Print_Area" localSheetId="0">評価項目!$A$3:$N$40</definedName>
    <definedName name="システムエラー" localSheetId="3">[1]ﾘｽﾄﾃﾞｰﾀ!$E$2:$E$6</definedName>
    <definedName name="システムエラー">ﾘｽﾄﾃﾞｰﾀ!$E$2:$E$6</definedName>
    <definedName name="システム名">ﾘｽﾄﾃﾞｰﾀ!$A$2:$A$132</definedName>
    <definedName name="ファイル破壊" localSheetId="3">[1]ﾘｽﾄﾃﾞｰﾀ!$D$2:$D$8</definedName>
    <definedName name="ファイル破壊">ﾘｽﾄﾃﾞｰﾀ!$D$2:$D$8</definedName>
    <definedName name="集計と金額" localSheetId="3">[1]ﾘｽﾄﾃﾞｰﾀ!$C$2:$C$7</definedName>
    <definedName name="集計と金額">ﾘｽﾄﾃﾞｰﾀ!$C$2:$C$7</definedName>
    <definedName name="障害内容の深刻度" localSheetId="3">[1]ﾘｽﾄﾃﾞｰﾀ!$H$2:$H$6</definedName>
    <definedName name="障害内容の深刻度">ﾘｽﾄﾃﾞｰﾀ!$H$2:$H$6</definedName>
    <definedName name="代替手段" localSheetId="3">[1]ﾘｽﾄﾃﾞｰﾀ!$G$2:$G$4</definedName>
    <definedName name="代替手段">ﾘｽﾄﾃﾞｰﾀ!$G$2:$G$4</definedName>
    <definedName name="発生頻度" localSheetId="3">[1]ﾘｽﾄﾃﾞｰﾀ!$F$2:$F$5</definedName>
    <definedName name="発生頻度">ﾘｽﾄﾃﾞｰﾀ!$F$2:$F$5</definedName>
    <definedName name="評価者" localSheetId="3">[2]ﾘｽﾄﾃﾞｰﾀ!$B$2:$B$499</definedName>
    <definedName name="評価者">ﾘｽﾄﾃﾞｰﾀ!$B$2:$B$600</definedName>
    <definedName name="評価履歴" localSheetId="3">[1]評価項目!$X:$AB</definedName>
    <definedName name="評価履歴">評価項目!$X:$AB</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0" i="3" l="1"/>
  <c r="AA10" i="3"/>
  <c r="Z10" i="3"/>
  <c r="D3" i="26"/>
  <c r="E3" i="26" s="1"/>
  <c r="F3" i="26" s="1"/>
  <c r="F25" i="26" s="1"/>
  <c r="GF4" i="26"/>
  <c r="GF5" i="26"/>
  <c r="GF6" i="26"/>
  <c r="GF7" i="26"/>
  <c r="GF8" i="26"/>
  <c r="GF9" i="26"/>
  <c r="GF10" i="26"/>
  <c r="GF11" i="26"/>
  <c r="GF12" i="26"/>
  <c r="GF13" i="26"/>
  <c r="GF14" i="26"/>
  <c r="GF15" i="26"/>
  <c r="GF16" i="26"/>
  <c r="GF17" i="26"/>
  <c r="GF18" i="26"/>
  <c r="GF19" i="26"/>
  <c r="GF20" i="26"/>
  <c r="GF21" i="26"/>
  <c r="GF22" i="26"/>
  <c r="GF23" i="26"/>
  <c r="GD4" i="26"/>
  <c r="GD5" i="26"/>
  <c r="GD6" i="26"/>
  <c r="GD7" i="26"/>
  <c r="GD8" i="26"/>
  <c r="GD9" i="26"/>
  <c r="GD10" i="26"/>
  <c r="GD11" i="26"/>
  <c r="GD12" i="26"/>
  <c r="GD13" i="26"/>
  <c r="GD14" i="26"/>
  <c r="GD15" i="26"/>
  <c r="GD16" i="26"/>
  <c r="GD17" i="26"/>
  <c r="GD18" i="26"/>
  <c r="GD19" i="26"/>
  <c r="GD20" i="26"/>
  <c r="GD21" i="26"/>
  <c r="GD22" i="26"/>
  <c r="GD23" i="26"/>
  <c r="GC24" i="26"/>
  <c r="GB24" i="26"/>
  <c r="GA24" i="26"/>
  <c r="FZ24" i="26"/>
  <c r="FY24" i="26"/>
  <c r="FX24" i="26"/>
  <c r="FW24" i="26"/>
  <c r="FV24" i="26"/>
  <c r="FU24" i="26"/>
  <c r="FT24" i="26"/>
  <c r="FS24" i="26"/>
  <c r="FR24" i="26"/>
  <c r="FQ24" i="26"/>
  <c r="FP24" i="26"/>
  <c r="FO24" i="26"/>
  <c r="FN24" i="26"/>
  <c r="FM24" i="26"/>
  <c r="FL24" i="26"/>
  <c r="FK24" i="26"/>
  <c r="FJ24" i="26"/>
  <c r="FI24" i="26"/>
  <c r="FH24" i="26"/>
  <c r="FG24" i="26"/>
  <c r="FF24" i="26"/>
  <c r="FE24" i="26"/>
  <c r="FD24" i="26"/>
  <c r="FC24" i="26"/>
  <c r="FB24" i="26"/>
  <c r="FA24" i="26"/>
  <c r="EZ24" i="26"/>
  <c r="EY24" i="26"/>
  <c r="EX24" i="26"/>
  <c r="EW24" i="26"/>
  <c r="EV24" i="26"/>
  <c r="EU24" i="26"/>
  <c r="ET24" i="26"/>
  <c r="ES24" i="26"/>
  <c r="ER24" i="26"/>
  <c r="EQ24" i="26"/>
  <c r="EP24" i="26"/>
  <c r="EO24" i="26"/>
  <c r="EN24" i="26"/>
  <c r="EM24" i="26"/>
  <c r="EL24" i="26"/>
  <c r="EK24" i="26"/>
  <c r="EJ24" i="26"/>
  <c r="EI24" i="26"/>
  <c r="EH24" i="26"/>
  <c r="EG24" i="26"/>
  <c r="EF24" i="26"/>
  <c r="EE24" i="26"/>
  <c r="ED24" i="26"/>
  <c r="EC24" i="26"/>
  <c r="EB24" i="26"/>
  <c r="EA24" i="26"/>
  <c r="DZ24" i="26"/>
  <c r="DY24" i="26"/>
  <c r="DX24" i="26"/>
  <c r="DW24" i="26"/>
  <c r="DV24" i="26"/>
  <c r="DU24" i="26"/>
  <c r="DT24" i="26"/>
  <c r="DS24" i="26"/>
  <c r="DR24" i="26"/>
  <c r="DQ24" i="26"/>
  <c r="DP24" i="26"/>
  <c r="DO24" i="26"/>
  <c r="DN24" i="26"/>
  <c r="DM24" i="26"/>
  <c r="DL24" i="26"/>
  <c r="DK24" i="26"/>
  <c r="DJ24" i="26"/>
  <c r="DI24" i="26"/>
  <c r="DH24" i="26"/>
  <c r="DG24" i="26"/>
  <c r="DF24" i="26"/>
  <c r="DE24" i="26"/>
  <c r="DD24" i="26"/>
  <c r="DC24" i="26"/>
  <c r="DB24" i="26"/>
  <c r="DA24" i="26"/>
  <c r="CZ24" i="26"/>
  <c r="CY24" i="26"/>
  <c r="CX24" i="26"/>
  <c r="CW24" i="26"/>
  <c r="CV24" i="26"/>
  <c r="CU24" i="26"/>
  <c r="CT24" i="26"/>
  <c r="CS24" i="26"/>
  <c r="CR24" i="26"/>
  <c r="CQ24" i="26"/>
  <c r="CP24" i="26"/>
  <c r="CO24" i="26"/>
  <c r="CN24" i="26"/>
  <c r="CM24" i="26"/>
  <c r="CL24" i="26"/>
  <c r="CK24" i="26"/>
  <c r="CJ24" i="26"/>
  <c r="CI24" i="26"/>
  <c r="CH24" i="26"/>
  <c r="CG24" i="26"/>
  <c r="CF24" i="26"/>
  <c r="CE24" i="26"/>
  <c r="CD24" i="26"/>
  <c r="CC24" i="26"/>
  <c r="CB24" i="26"/>
  <c r="CA24" i="26"/>
  <c r="BZ24" i="26"/>
  <c r="BY24" i="26"/>
  <c r="BX24" i="26"/>
  <c r="BW24" i="26"/>
  <c r="BV24" i="26"/>
  <c r="BU24" i="26"/>
  <c r="BT24" i="26"/>
  <c r="BS24" i="26"/>
  <c r="BR24" i="26"/>
  <c r="BQ24" i="26"/>
  <c r="BP24" i="26"/>
  <c r="BO24" i="26"/>
  <c r="BN24" i="26"/>
  <c r="BM24" i="26"/>
  <c r="BL24" i="26"/>
  <c r="BK24" i="26"/>
  <c r="BJ24" i="26"/>
  <c r="BI24" i="26"/>
  <c r="BH24" i="26"/>
  <c r="BG24" i="26"/>
  <c r="BF24" i="26"/>
  <c r="BE24" i="26"/>
  <c r="BD24"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A12" i="3"/>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E8" i="16556"/>
  <c r="E7" i="16556"/>
  <c r="E6" i="16556"/>
  <c r="E9" i="16556"/>
  <c r="E10" i="16556"/>
  <c r="E5" i="16556"/>
  <c r="C25" i="26"/>
  <c r="GF24" i="26" l="1"/>
  <c r="GG24" i="26" s="1"/>
  <c r="GD24" i="26"/>
  <c r="E25" i="26"/>
  <c r="D25" i="26"/>
  <c r="E11" i="16556"/>
  <c r="E13" i="16556" s="1"/>
  <c r="G3" i="26"/>
  <c r="G25" i="26" l="1"/>
  <c r="H3" i="26"/>
  <c r="H25" i="26" l="1"/>
  <c r="I3" i="26"/>
  <c r="J3" i="26" l="1"/>
  <c r="I25" i="26"/>
  <c r="K3" i="26" l="1"/>
  <c r="J25" i="26"/>
  <c r="K25" i="26" l="1"/>
  <c r="L3" i="26"/>
  <c r="M3" i="26" l="1"/>
  <c r="L25" i="26"/>
  <c r="M25" i="26" l="1"/>
  <c r="N3" i="26"/>
  <c r="O3" i="26" l="1"/>
  <c r="N25" i="26"/>
  <c r="O25" i="26" l="1"/>
  <c r="P3" i="26"/>
  <c r="Q3" i="26" l="1"/>
  <c r="P25" i="26"/>
  <c r="Q25" i="26" l="1"/>
  <c r="R3" i="26"/>
  <c r="S3" i="26" l="1"/>
  <c r="R25" i="26"/>
  <c r="S25" i="26" l="1"/>
  <c r="T3" i="26"/>
  <c r="U3" i="26" l="1"/>
  <c r="T25" i="26"/>
  <c r="U25" i="26" l="1"/>
  <c r="V3" i="26"/>
  <c r="W3" i="26" l="1"/>
  <c r="V25" i="26"/>
  <c r="W25" i="26" l="1"/>
  <c r="X3" i="26"/>
  <c r="Y3" i="26" l="1"/>
  <c r="X25" i="26"/>
  <c r="Z3" i="26" l="1"/>
  <c r="Y25" i="26"/>
  <c r="AA3" i="26" l="1"/>
  <c r="Z25" i="26"/>
  <c r="AA25" i="26" l="1"/>
  <c r="AB3" i="26"/>
  <c r="AC3" i="26" l="1"/>
  <c r="AB25" i="26"/>
  <c r="AC25" i="26" l="1"/>
  <c r="AD3" i="26"/>
  <c r="AE3" i="26" l="1"/>
  <c r="AD25" i="26"/>
  <c r="AE25" i="26" l="1"/>
  <c r="AF3" i="26"/>
  <c r="AG3" i="26" l="1"/>
  <c r="AF25" i="26"/>
  <c r="AH3" i="26" l="1"/>
  <c r="AG25" i="26"/>
  <c r="AH25" i="26" l="1"/>
  <c r="AI3" i="26"/>
  <c r="AJ3" i="26" l="1"/>
  <c r="AI25" i="26"/>
  <c r="AK3" i="26" l="1"/>
  <c r="AJ25" i="26"/>
  <c r="AK25" i="26" l="1"/>
  <c r="AL3" i="26"/>
  <c r="AL25" i="26" l="1"/>
  <c r="AM3" i="26"/>
  <c r="AN3" i="26" l="1"/>
  <c r="AM25" i="26"/>
  <c r="AO3" i="26" l="1"/>
  <c r="AN25" i="26"/>
  <c r="AP3" i="26" l="1"/>
  <c r="AO25" i="26"/>
  <c r="AP25" i="26" l="1"/>
  <c r="AQ3" i="26"/>
  <c r="AR3" i="26" l="1"/>
  <c r="AQ25" i="26"/>
  <c r="AS3" i="26" l="1"/>
  <c r="AR25" i="26"/>
  <c r="AS25" i="26" l="1"/>
  <c r="AT3" i="26"/>
  <c r="AT25" i="26" l="1"/>
  <c r="AU3" i="26"/>
  <c r="AU25" i="26" l="1"/>
  <c r="AV3" i="26"/>
  <c r="AW3" i="26" l="1"/>
  <c r="AV25" i="26"/>
  <c r="AX3" i="26" l="1"/>
  <c r="AW25" i="26"/>
  <c r="AX25" i="26" l="1"/>
  <c r="AY3" i="26"/>
  <c r="AZ3" i="26" l="1"/>
  <c r="AY25" i="26"/>
  <c r="BA3" i="26" l="1"/>
  <c r="AZ25" i="26"/>
  <c r="BA25" i="26" l="1"/>
  <c r="BB3" i="26"/>
  <c r="BB25" i="26" l="1"/>
  <c r="BC3" i="26"/>
  <c r="BD3" i="26" l="1"/>
  <c r="BC25" i="26"/>
  <c r="BE3" i="26" l="1"/>
  <c r="BD25" i="26"/>
  <c r="BF3" i="26" l="1"/>
  <c r="BE25" i="26"/>
  <c r="BF25" i="26" l="1"/>
  <c r="BG3" i="26"/>
  <c r="BH3" i="26" l="1"/>
  <c r="BG25" i="26"/>
  <c r="BI3" i="26" l="1"/>
  <c r="BH25" i="26"/>
  <c r="BI25" i="26" l="1"/>
  <c r="BJ3" i="26"/>
  <c r="BJ25" i="26" l="1"/>
  <c r="BK3" i="26"/>
  <c r="BK25" i="26" l="1"/>
  <c r="BL3" i="26"/>
  <c r="BM3" i="26" l="1"/>
  <c r="BL25" i="26"/>
  <c r="BN3" i="26" l="1"/>
  <c r="BM25" i="26"/>
  <c r="BN25" i="26" l="1"/>
  <c r="BO3" i="26"/>
  <c r="BP3" i="26" l="1"/>
  <c r="BO25" i="26"/>
  <c r="BQ3" i="26" l="1"/>
  <c r="BP25" i="26"/>
  <c r="BQ25" i="26" l="1"/>
  <c r="BR3" i="26"/>
  <c r="BR25" i="26" l="1"/>
  <c r="BS3" i="26"/>
  <c r="BT3" i="26" l="1"/>
  <c r="BS25" i="26"/>
  <c r="BU3" i="26" l="1"/>
  <c r="BT25" i="26"/>
  <c r="BV3" i="26" l="1"/>
  <c r="BU25" i="26"/>
  <c r="BV25" i="26" l="1"/>
  <c r="BW3" i="26"/>
  <c r="BX3" i="26" l="1"/>
  <c r="BW25" i="26"/>
  <c r="BY3" i="26" l="1"/>
  <c r="BX25" i="26"/>
  <c r="BY25" i="26" l="1"/>
  <c r="BZ3" i="26"/>
  <c r="BZ25" i="26" l="1"/>
  <c r="CA3" i="26"/>
  <c r="CA25" i="26" l="1"/>
  <c r="CB3" i="26"/>
  <c r="CC3" i="26" l="1"/>
  <c r="CB25" i="26"/>
  <c r="CD3" i="26" l="1"/>
  <c r="CC25" i="26"/>
  <c r="CD25" i="26" l="1"/>
  <c r="CE3" i="26"/>
  <c r="CF3" i="26" l="1"/>
  <c r="CE25" i="26"/>
  <c r="CG3" i="26" l="1"/>
  <c r="CF25" i="26"/>
  <c r="CG25" i="26" l="1"/>
  <c r="CH3" i="26"/>
  <c r="CH25" i="26" l="1"/>
  <c r="CI3" i="26"/>
  <c r="CJ3" i="26" l="1"/>
  <c r="CI25" i="26"/>
  <c r="CK3" i="26" l="1"/>
  <c r="CJ25" i="26"/>
  <c r="CL3" i="26" l="1"/>
  <c r="CK25" i="26"/>
  <c r="CL25" i="26" l="1"/>
  <c r="CM3" i="26"/>
  <c r="CN3" i="26" l="1"/>
  <c r="CM25" i="26"/>
  <c r="CO3" i="26" l="1"/>
  <c r="CN25" i="26"/>
  <c r="CO25" i="26" l="1"/>
  <c r="CP3" i="26"/>
  <c r="CP25" i="26" l="1"/>
  <c r="CQ3" i="26"/>
  <c r="CQ25" i="26" l="1"/>
  <c r="CR3" i="26"/>
  <c r="CS3" i="26" l="1"/>
  <c r="CR25" i="26"/>
  <c r="CT3" i="26" l="1"/>
  <c r="CS25" i="26"/>
  <c r="CT25" i="26" l="1"/>
  <c r="CU3" i="26"/>
  <c r="CV3" i="26" l="1"/>
  <c r="CU25" i="26"/>
  <c r="CW3" i="26" l="1"/>
  <c r="CV25" i="26"/>
  <c r="CW25" i="26" l="1"/>
  <c r="CX3" i="26"/>
  <c r="CX25" i="26" l="1"/>
  <c r="CY3" i="26"/>
  <c r="CZ3" i="26" l="1"/>
  <c r="CY25" i="26"/>
  <c r="DA3" i="26" l="1"/>
  <c r="CZ25" i="26"/>
  <c r="DB3" i="26" l="1"/>
  <c r="DA25" i="26"/>
  <c r="DB25" i="26" l="1"/>
  <c r="DC3" i="26"/>
  <c r="DD3" i="26" l="1"/>
  <c r="DC25" i="26"/>
  <c r="DE3" i="26" l="1"/>
  <c r="DD25" i="26"/>
  <c r="DE25" i="26" l="1"/>
  <c r="DF3" i="26"/>
  <c r="DF25" i="26" l="1"/>
  <c r="DG3" i="26"/>
  <c r="DG25" i="26" l="1"/>
  <c r="DH3" i="26"/>
  <c r="DI3" i="26" l="1"/>
  <c r="DH25" i="26"/>
  <c r="DJ3" i="26" l="1"/>
  <c r="DI25" i="26"/>
  <c r="DJ25" i="26" l="1"/>
  <c r="DK3" i="26"/>
  <c r="DL3" i="26" l="1"/>
  <c r="DK25" i="26"/>
  <c r="DM3" i="26" l="1"/>
  <c r="DL25" i="26"/>
  <c r="DM25" i="26" l="1"/>
  <c r="DN3" i="26"/>
  <c r="DN25" i="26" l="1"/>
  <c r="DO3" i="26"/>
  <c r="DP3" i="26" l="1"/>
  <c r="DO25" i="26"/>
  <c r="DQ3" i="26" l="1"/>
  <c r="DP25" i="26"/>
  <c r="DR3" i="26" l="1"/>
  <c r="DQ25" i="26"/>
  <c r="DR25" i="26" l="1"/>
  <c r="DS3" i="26"/>
  <c r="DT3" i="26" l="1"/>
  <c r="DS25" i="26"/>
  <c r="DU3" i="26" l="1"/>
  <c r="DT25" i="26"/>
  <c r="DU25" i="26" l="1"/>
  <c r="DV3" i="26"/>
  <c r="DV25" i="26" l="1"/>
  <c r="DW3" i="26"/>
  <c r="DW25" i="26" l="1"/>
  <c r="DX3" i="26"/>
  <c r="DY3" i="26" l="1"/>
  <c r="DX25" i="26"/>
  <c r="DZ3" i="26" l="1"/>
  <c r="DY25" i="26"/>
  <c r="DZ25" i="26" l="1"/>
  <c r="EA3" i="26"/>
  <c r="EB3" i="26" l="1"/>
  <c r="EA25" i="26"/>
  <c r="EB25" i="26" l="1"/>
  <c r="EC3" i="26"/>
  <c r="ED3" i="26" l="1"/>
  <c r="EC25" i="26"/>
  <c r="ED25" i="26" l="1"/>
  <c r="EE3" i="26"/>
  <c r="EF3" i="26" l="1"/>
  <c r="EE25" i="26"/>
  <c r="EF25" i="26" l="1"/>
  <c r="EG3" i="26"/>
  <c r="EH3" i="26" l="1"/>
  <c r="EG25" i="26"/>
  <c r="EH25" i="26" l="1"/>
  <c r="EI3" i="26"/>
  <c r="EJ3" i="26" l="1"/>
  <c r="EI25" i="26"/>
  <c r="EJ25" i="26" l="1"/>
  <c r="EK3" i="26"/>
  <c r="EL3" i="26" l="1"/>
  <c r="EK25" i="26"/>
  <c r="EL25" i="26" l="1"/>
  <c r="EM3" i="26"/>
  <c r="EN3" i="26" l="1"/>
  <c r="EM25" i="26"/>
  <c r="EN25" i="26" l="1"/>
  <c r="EO3" i="26"/>
  <c r="EP3" i="26" l="1"/>
  <c r="EO25" i="26"/>
  <c r="EP25" i="26" l="1"/>
  <c r="EQ3" i="26"/>
  <c r="ER3" i="26" l="1"/>
  <c r="EQ25" i="26"/>
  <c r="ER25" i="26" l="1"/>
  <c r="ES3" i="26"/>
  <c r="ET3" i="26" l="1"/>
  <c r="ES25" i="26"/>
  <c r="ET25" i="26" l="1"/>
  <c r="EU3" i="26"/>
  <c r="EV3" i="26" l="1"/>
  <c r="EU25" i="26"/>
  <c r="EV25" i="26" l="1"/>
  <c r="EW3" i="26"/>
  <c r="EX3" i="26" l="1"/>
  <c r="EW25" i="26"/>
  <c r="EX25" i="26" l="1"/>
  <c r="EY3" i="26"/>
  <c r="EZ3" i="26" l="1"/>
  <c r="EY25" i="26"/>
  <c r="EZ25" i="26" l="1"/>
  <c r="FA3" i="26"/>
  <c r="FB3" i="26" l="1"/>
  <c r="FA25" i="26"/>
  <c r="FB25" i="26" l="1"/>
  <c r="FC3" i="26"/>
  <c r="FD3" i="26" l="1"/>
  <c r="FC25" i="26"/>
  <c r="FD25" i="26" l="1"/>
  <c r="FE3" i="26"/>
  <c r="FF3" i="26" l="1"/>
  <c r="FE25" i="26"/>
  <c r="FF25" i="26" l="1"/>
  <c r="FG3" i="26"/>
  <c r="FH3" i="26" l="1"/>
  <c r="FG25" i="26"/>
  <c r="FH25" i="26" l="1"/>
  <c r="FI3" i="26"/>
  <c r="FJ3" i="26" l="1"/>
  <c r="FI25" i="26"/>
  <c r="FJ25" i="26" l="1"/>
  <c r="FK3" i="26"/>
  <c r="FL3" i="26" l="1"/>
  <c r="FK25" i="26"/>
  <c r="FL25" i="26" l="1"/>
  <c r="FM3" i="26"/>
  <c r="FN3" i="26" l="1"/>
  <c r="FM25" i="26"/>
  <c r="FN25" i="26" l="1"/>
  <c r="FO3" i="26"/>
  <c r="FP3" i="26" l="1"/>
  <c r="FO25" i="26"/>
  <c r="FQ3" i="26" l="1"/>
  <c r="FP25" i="26"/>
  <c r="FR3" i="26" l="1"/>
  <c r="FQ25" i="26"/>
  <c r="FR25" i="26" l="1"/>
  <c r="FS3" i="26"/>
  <c r="FT3" i="26" l="1"/>
  <c r="FS25" i="26"/>
  <c r="FU3" i="26" l="1"/>
  <c r="FT25" i="26"/>
  <c r="FV3" i="26" l="1"/>
  <c r="FU25" i="26"/>
  <c r="FV25" i="26" l="1"/>
  <c r="FW3" i="26"/>
  <c r="FW25" i="26" l="1"/>
  <c r="FX3" i="26"/>
  <c r="FX25" i="26" l="1"/>
  <c r="FY3" i="26"/>
  <c r="FZ3" i="26" l="1"/>
  <c r="FY25" i="26"/>
  <c r="FZ25" i="26" l="1"/>
  <c r="GA3" i="26"/>
  <c r="GA25" i="26" l="1"/>
  <c r="GB3" i="26"/>
  <c r="GB25" i="26" l="1"/>
  <c r="GC3" i="26"/>
  <c r="GC25" i="26" s="1"/>
  <c r="GD25"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西塚弘貴</author>
  </authors>
  <commentList>
    <comment ref="C9" authorId="0" shapeId="0" xr:uid="{8DC1264C-4A9B-4A11-A3D3-ADFCE5E1ED4B}">
      <text>
        <r>
          <rPr>
            <b/>
            <u/>
            <sz val="9"/>
            <color indexed="81"/>
            <rFont val="MS P ゴシック"/>
            <family val="3"/>
            <charset val="128"/>
          </rPr>
          <t>例：ＮＥＸＴ（利用票の障害）</t>
        </r>
        <r>
          <rPr>
            <sz val="9"/>
            <color indexed="81"/>
            <rFont val="MS P ゴシック"/>
            <family val="3"/>
            <charset val="128"/>
          </rPr>
          <t xml:space="preserve">
　ケアマネシステムを日常的に使用する際に
　障害が顕在化するユーザー割合を選択します。
</t>
        </r>
        <r>
          <rPr>
            <b/>
            <u/>
            <sz val="9"/>
            <color indexed="81"/>
            <rFont val="MS P ゴシック"/>
            <family val="3"/>
            <charset val="128"/>
          </rPr>
          <t>例：ｍｏｒｅ（支援記録の障害）</t>
        </r>
        <r>
          <rPr>
            <sz val="9"/>
            <color indexed="81"/>
            <rFont val="MS P ゴシック"/>
            <family val="3"/>
            <charset val="128"/>
          </rPr>
          <t xml:space="preserve">
　支援記録システムを日常的に使用する際に
　障害が顕在化するユーザー割合を選択します。
</t>
        </r>
      </text>
    </comment>
  </commentList>
</comments>
</file>

<file path=xl/sharedStrings.xml><?xml version="1.0" encoding="utf-8"?>
<sst xmlns="http://schemas.openxmlformats.org/spreadsheetml/2006/main" count="1019" uniqueCount="980">
  <si>
    <r>
      <t xml:space="preserve">評価結果選択のヒント
ここを </t>
    </r>
    <r>
      <rPr>
        <b/>
        <sz val="10"/>
        <color indexed="10"/>
        <rFont val="ＭＳ Ｐゴシック"/>
        <family val="3"/>
        <charset val="128"/>
      </rPr>
      <t>★クリック★</t>
    </r>
    <phoneticPr fontId="1"/>
  </si>
  <si>
    <t>評　価　仕　様　書</t>
    <rPh sb="0" eb="1">
      <t>ヒョウ</t>
    </rPh>
    <rPh sb="2" eb="3">
      <t>アタイ</t>
    </rPh>
    <rPh sb="4" eb="5">
      <t>ツコウ</t>
    </rPh>
    <rPh sb="6" eb="7">
      <t>サマ</t>
    </rPh>
    <rPh sb="8" eb="9">
      <t>ショ</t>
    </rPh>
    <phoneticPr fontId="1"/>
  </si>
  <si>
    <t>登録</t>
  </si>
  <si>
    <t>潜在バグは"0"を入力↓↓</t>
    <rPh sb="0" eb="2">
      <t>センザイ</t>
    </rPh>
    <rPh sb="9" eb="11">
      <t>ニュウリョク</t>
    </rPh>
    <phoneticPr fontId="1"/>
  </si>
  <si>
    <t>評価者は選択リストから選択しないとエラーになります↓↓</t>
    <phoneticPr fontId="1"/>
  </si>
  <si>
    <t>対応項目一覧中の番号</t>
    <rPh sb="4" eb="6">
      <t>イチラン</t>
    </rPh>
    <rPh sb="6" eb="7">
      <t>チュウ</t>
    </rPh>
    <phoneticPr fontId="1"/>
  </si>
  <si>
    <t>機能概要 or 障害・要望概要</t>
    <rPh sb="8" eb="10">
      <t>ショウガイ</t>
    </rPh>
    <rPh sb="11" eb="13">
      <t>ヨウボウ</t>
    </rPh>
    <rPh sb="13" eb="15">
      <t>ガイヨウ</t>
    </rPh>
    <phoneticPr fontId="1"/>
  </si>
  <si>
    <t>○○機能に関するテスト</t>
    <rPh sb="2" eb="4">
      <t>キノウ</t>
    </rPh>
    <rPh sb="5" eb="6">
      <t>カン</t>
    </rPh>
    <phoneticPr fontId="1"/>
  </si>
  <si>
    <t>評価報告書の作成者</t>
    <rPh sb="0" eb="2">
      <t>ヒョウカ</t>
    </rPh>
    <rPh sb="2" eb="5">
      <t>ホウコクショ</t>
    </rPh>
    <rPh sb="6" eb="9">
      <t>サクセイシャ</t>
    </rPh>
    <phoneticPr fontId="1"/>
  </si>
  <si>
    <t>評価する画面や帳票、機能</t>
    <phoneticPr fontId="1"/>
  </si>
  <si>
    <t>○○画面</t>
    <rPh sb="2" eb="4">
      <t>ガメン</t>
    </rPh>
    <phoneticPr fontId="1"/>
  </si>
  <si>
    <t>№</t>
    <phoneticPr fontId="1"/>
  </si>
  <si>
    <t>処理大区分</t>
    <rPh sb="0" eb="2">
      <t>ショリ</t>
    </rPh>
    <rPh sb="2" eb="5">
      <t>ダイクブン</t>
    </rPh>
    <phoneticPr fontId="1"/>
  </si>
  <si>
    <t>処理中区分</t>
    <rPh sb="0" eb="2">
      <t>ショリ</t>
    </rPh>
    <rPh sb="2" eb="3">
      <t>チュウ</t>
    </rPh>
    <rPh sb="3" eb="5">
      <t>クブン</t>
    </rPh>
    <phoneticPr fontId="1"/>
  </si>
  <si>
    <t>テスト内容（入力）</t>
    <phoneticPr fontId="1"/>
  </si>
  <si>
    <t>正常動作（出力結果）</t>
    <rPh sb="0" eb="2">
      <t>セイジョウ</t>
    </rPh>
    <rPh sb="2" eb="4">
      <t>ドウサ</t>
    </rPh>
    <rPh sb="7" eb="9">
      <t>ケッカ</t>
    </rPh>
    <phoneticPr fontId="1"/>
  </si>
  <si>
    <t>障害番号</t>
    <rPh sb="0" eb="2">
      <t>ショウガイ</t>
    </rPh>
    <rPh sb="2" eb="4">
      <t>バンゴウ</t>
    </rPh>
    <phoneticPr fontId="1"/>
  </si>
  <si>
    <t>ランク</t>
    <phoneticPr fontId="1"/>
  </si>
  <si>
    <t>発生日時</t>
    <rPh sb="0" eb="2">
      <t>ハッセイ</t>
    </rPh>
    <rPh sb="2" eb="3">
      <t>ニチジ</t>
    </rPh>
    <rPh sb="3" eb="4">
      <t>トキ</t>
    </rPh>
    <phoneticPr fontId="1"/>
  </si>
  <si>
    <t>障害内容</t>
    <phoneticPr fontId="1"/>
  </si>
  <si>
    <t>障害を改修した内容</t>
    <rPh sb="0" eb="2">
      <t>ショウガイ</t>
    </rPh>
    <rPh sb="3" eb="5">
      <t>カイシュウ</t>
    </rPh>
    <rPh sb="7" eb="9">
      <t>ナイヨウ</t>
    </rPh>
    <phoneticPr fontId="1"/>
  </si>
  <si>
    <t>修正日</t>
    <rPh sb="0" eb="2">
      <t>シュウセイ</t>
    </rPh>
    <rPh sb="2" eb="3">
      <t>ヒ</t>
    </rPh>
    <phoneticPr fontId="1"/>
  </si>
  <si>
    <t>対応者</t>
    <rPh sb="0" eb="2">
      <t>タイオウ</t>
    </rPh>
    <rPh sb="2" eb="3">
      <t>シャ</t>
    </rPh>
    <phoneticPr fontId="1"/>
  </si>
  <si>
    <t>重複元の</t>
    <rPh sb="0" eb="2">
      <t>ジュウフク</t>
    </rPh>
    <rPh sb="2" eb="3">
      <t>モト</t>
    </rPh>
    <phoneticPr fontId="1"/>
  </si>
  <si>
    <t>障害追跡番号</t>
    <rPh sb="0" eb="2">
      <t>ショウガイ</t>
    </rPh>
    <phoneticPr fontId="1"/>
  </si>
  <si>
    <t>障害分析項目</t>
    <rPh sb="0" eb="2">
      <t>ショウガイ</t>
    </rPh>
    <rPh sb="2" eb="4">
      <t>ブンセキ</t>
    </rPh>
    <rPh sb="4" eb="6">
      <t>コウモク</t>
    </rPh>
    <phoneticPr fontId="1"/>
  </si>
  <si>
    <t>評価履歴①</t>
    <rPh sb="0" eb="2">
      <t>ヒョウカ</t>
    </rPh>
    <rPh sb="2" eb="4">
      <t>リレキ</t>
    </rPh>
    <phoneticPr fontId="1"/>
  </si>
  <si>
    <t>評価履歴②</t>
    <rPh sb="0" eb="2">
      <t>ヒョウカ</t>
    </rPh>
    <rPh sb="2" eb="4">
      <t>リレキ</t>
    </rPh>
    <phoneticPr fontId="1"/>
  </si>
  <si>
    <t>評価履歴③</t>
    <rPh sb="0" eb="2">
      <t>ヒョウカ</t>
    </rPh>
    <rPh sb="2" eb="4">
      <t>リレキ</t>
    </rPh>
    <phoneticPr fontId="1"/>
  </si>
  <si>
    <t>評価履歴④</t>
    <rPh sb="0" eb="2">
      <t>ヒョウカ</t>
    </rPh>
    <rPh sb="2" eb="4">
      <t>リレキ</t>
    </rPh>
    <phoneticPr fontId="1"/>
  </si>
  <si>
    <t>評価履歴⑤</t>
    <rPh sb="0" eb="2">
      <t>ヒョウカ</t>
    </rPh>
    <rPh sb="2" eb="4">
      <t>リレキ</t>
    </rPh>
    <phoneticPr fontId="1"/>
  </si>
  <si>
    <t>評価者名→</t>
    <rPh sb="0" eb="3">
      <t>ヒョウカシャ</t>
    </rPh>
    <rPh sb="3" eb="4">
      <t>メイ</t>
    </rPh>
    <phoneticPr fontId="1"/>
  </si>
  <si>
    <r>
      <t>2007/10/1 16:30</t>
    </r>
    <r>
      <rPr>
        <sz val="10"/>
        <color indexed="10"/>
        <rFont val="ＭＳ Ｐゴシック"/>
        <family val="3"/>
        <charset val="128"/>
      </rPr>
      <t>形式で
時刻まで入力してください</t>
    </r>
    <rPh sb="15" eb="17">
      <t>ケイシキ</t>
    </rPh>
    <rPh sb="19" eb="21">
      <t>ジコク</t>
    </rPh>
    <rPh sb="23" eb="25">
      <t>ニュウリョク</t>
    </rPh>
    <phoneticPr fontId="1"/>
  </si>
  <si>
    <t>仕様、要望の内容
重複、準備前、誤解、不再現、文書もその内容</t>
    <rPh sb="6" eb="8">
      <t>ナイヨウ</t>
    </rPh>
    <rPh sb="28" eb="30">
      <t>ナイヨウ</t>
    </rPh>
    <phoneticPr fontId="1"/>
  </si>
  <si>
    <t>仕様は仕様にした理由、要望はその回答
重複、準備前、誤解、不再現、文書はその見解</t>
    <rPh sb="0" eb="2">
      <t>シヨウ</t>
    </rPh>
    <rPh sb="3" eb="5">
      <t>シヨウ</t>
    </rPh>
    <rPh sb="8" eb="10">
      <t>リユウ</t>
    </rPh>
    <rPh sb="11" eb="13">
      <t>ヨウボウ</t>
    </rPh>
    <rPh sb="16" eb="18">
      <t>カイトウ</t>
    </rPh>
    <rPh sb="19" eb="21">
      <t>ジュウフク</t>
    </rPh>
    <rPh sb="22" eb="24">
      <t>ジュンビ</t>
    </rPh>
    <rPh sb="24" eb="25">
      <t>マエ</t>
    </rPh>
    <rPh sb="26" eb="28">
      <t>ゴカイ</t>
    </rPh>
    <rPh sb="29" eb="30">
      <t>フ</t>
    </rPh>
    <rPh sb="30" eb="32">
      <t>サイゲン</t>
    </rPh>
    <rPh sb="33" eb="35">
      <t>ブンショ</t>
    </rPh>
    <rPh sb="38" eb="40">
      <t>ケンカイ</t>
    </rPh>
    <phoneticPr fontId="1"/>
  </si>
  <si>
    <t>障害の行番号</t>
    <phoneticPr fontId="1"/>
  </si>
  <si>
    <t>（MantisのチケットID）</t>
    <phoneticPr fontId="1"/>
  </si>
  <si>
    <t>原因工程</t>
    <phoneticPr fontId="1"/>
  </si>
  <si>
    <t>原因区分</t>
    <phoneticPr fontId="1"/>
  </si>
  <si>
    <t>バグ種別</t>
    <phoneticPr fontId="1"/>
  </si>
  <si>
    <t>　</t>
  </si>
  <si>
    <t>評価者と評価日</t>
    <rPh sb="0" eb="3">
      <t>ヒョウカシャ</t>
    </rPh>
    <rPh sb="4" eb="6">
      <t>ヒョウカ</t>
    </rPh>
    <rPh sb="6" eb="7">
      <t>ビ</t>
    </rPh>
    <phoneticPr fontId="1"/>
  </si>
  <si>
    <t>（単位：H）</t>
  </si>
  <si>
    <t>評価者＼評価日</t>
    <phoneticPr fontId="1"/>
  </si>
  <si>
    <t>合計</t>
    <rPh sb="0" eb="2">
      <t>ゴウケイ</t>
    </rPh>
    <phoneticPr fontId="1"/>
  </si>
  <si>
    <t>0/1</t>
    <phoneticPr fontId="1"/>
  </si>
  <si>
    <t>工数</t>
    <rPh sb="0" eb="2">
      <t>コウスウ</t>
    </rPh>
    <phoneticPr fontId="1"/>
  </si>
  <si>
    <t>比率</t>
    <rPh sb="0" eb="2">
      <t>ヒリツ</t>
    </rPh>
    <phoneticPr fontId="1"/>
  </si>
  <si>
    <t>合計</t>
    <phoneticPr fontId="1"/>
  </si>
  <si>
    <t>評価項目数</t>
    <rPh sb="0" eb="2">
      <t>ヒョウカ</t>
    </rPh>
    <rPh sb="2" eb="4">
      <t>コウモク</t>
    </rPh>
    <rPh sb="4" eb="5">
      <t>スウ</t>
    </rPh>
    <phoneticPr fontId="1"/>
  </si>
  <si>
    <t>【品質保証チェック用】</t>
    <phoneticPr fontId="1"/>
  </si>
  <si>
    <t>入力内容に問題はありません！</t>
    <phoneticPr fontId="1"/>
  </si>
  <si>
    <t>手入力した評価者</t>
    <rPh sb="0" eb="1">
      <t>テ</t>
    </rPh>
    <rPh sb="1" eb="3">
      <t>ニュウリョク</t>
    </rPh>
    <rPh sb="5" eb="8">
      <t>ヒョウカシャ</t>
    </rPh>
    <phoneticPr fontId="1"/>
  </si>
  <si>
    <t>すべての評価者は選択リストを使い、正しい入力方法で入力されています</t>
    <phoneticPr fontId="1"/>
  </si>
  <si>
    <t>評価時間合計がゼロ</t>
    <rPh sb="0" eb="2">
      <t>ヒョウカ</t>
    </rPh>
    <rPh sb="2" eb="4">
      <t>ジカン</t>
    </rPh>
    <rPh sb="4" eb="6">
      <t>ゴウケイ</t>
    </rPh>
    <phoneticPr fontId="1"/>
  </si>
  <si>
    <t>すべての評価合計時間は正しく計算されています</t>
    <phoneticPr fontId="1"/>
  </si>
  <si>
    <t>評価者記入の矛盾１</t>
    <rPh sb="0" eb="2">
      <t>ヒョウカ</t>
    </rPh>
    <rPh sb="2" eb="3">
      <t>シャ</t>
    </rPh>
    <rPh sb="3" eb="5">
      <t>キニュウ</t>
    </rPh>
    <rPh sb="6" eb="8">
      <t>ムジュン</t>
    </rPh>
    <phoneticPr fontId="1"/>
  </si>
  <si>
    <t>[評価項目]に記載が有って[評価時間]に記載が無い人は居ません</t>
    <phoneticPr fontId="1"/>
  </si>
  <si>
    <t>評価者記入の矛盾２</t>
    <rPh sb="0" eb="2">
      <t>ヒョウカ</t>
    </rPh>
    <rPh sb="2" eb="3">
      <t>シャ</t>
    </rPh>
    <rPh sb="3" eb="5">
      <t>キニュウ</t>
    </rPh>
    <rPh sb="6" eb="8">
      <t>ムジュン</t>
    </rPh>
    <phoneticPr fontId="1"/>
  </si>
  <si>
    <t>[評価時間]に記載が有って[評価項目]に記載が無い人は居ません</t>
    <phoneticPr fontId="1"/>
  </si>
  <si>
    <t>評価者記入漏れ</t>
    <rPh sb="0" eb="3">
      <t>ヒョウカシャ</t>
    </rPh>
    <rPh sb="3" eb="5">
      <t>キニュウ</t>
    </rPh>
    <rPh sb="5" eb="6">
      <t>モ</t>
    </rPh>
    <phoneticPr fontId="1"/>
  </si>
  <si>
    <t>評価結果に対する評価者の記入漏れ無し</t>
    <phoneticPr fontId="1"/>
  </si>
  <si>
    <t>障害発生日の矛盾</t>
    <rPh sb="0" eb="2">
      <t>ショウガイ</t>
    </rPh>
    <rPh sb="2" eb="5">
      <t>ハッセイビ</t>
    </rPh>
    <rPh sb="6" eb="8">
      <t>ムジュン</t>
    </rPh>
    <phoneticPr fontId="1"/>
  </si>
  <si>
    <t>評価日と障害発生日の矛盾無し</t>
    <phoneticPr fontId="1"/>
  </si>
  <si>
    <t>評価結果の記載漏れ</t>
    <rPh sb="0" eb="2">
      <t>ヒョウカ</t>
    </rPh>
    <rPh sb="2" eb="4">
      <t>ケッカ</t>
    </rPh>
    <rPh sb="5" eb="7">
      <t>キサイ</t>
    </rPh>
    <rPh sb="7" eb="8">
      <t>モ</t>
    </rPh>
    <phoneticPr fontId="1"/>
  </si>
  <si>
    <t>評価結果の記入漏れ無し</t>
    <phoneticPr fontId="1"/>
  </si>
  <si>
    <t>重複元障害の行番号</t>
    <rPh sb="0" eb="2">
      <t>ジュウフク</t>
    </rPh>
    <rPh sb="2" eb="3">
      <t>モト</t>
    </rPh>
    <rPh sb="3" eb="5">
      <t>ショウガイ</t>
    </rPh>
    <rPh sb="6" eb="7">
      <t>ギョウ</t>
    </rPh>
    <rPh sb="7" eb="9">
      <t>バンゴウ</t>
    </rPh>
    <phoneticPr fontId="1"/>
  </si>
  <si>
    <t>重複障害に対する重複元障害の記入漏れ無し</t>
    <phoneticPr fontId="1"/>
  </si>
  <si>
    <t>対応番号の記入もれ</t>
    <rPh sb="0" eb="2">
      <t>タイオウ</t>
    </rPh>
    <rPh sb="2" eb="4">
      <t>バンゴウ</t>
    </rPh>
    <rPh sb="5" eb="7">
      <t>キニュウ</t>
    </rPh>
    <phoneticPr fontId="1"/>
  </si>
  <si>
    <t>「対応項目一覧の番号」の記入漏れ無し</t>
    <phoneticPr fontId="1"/>
  </si>
  <si>
    <t>重複障害の発生日時</t>
    <rPh sb="0" eb="2">
      <t>ジュウフク</t>
    </rPh>
    <rPh sb="2" eb="4">
      <t>ショウガイ</t>
    </rPh>
    <rPh sb="5" eb="7">
      <t>ハッセイ</t>
    </rPh>
    <rPh sb="7" eb="9">
      <t>ニチジ</t>
    </rPh>
    <phoneticPr fontId="1"/>
  </si>
  <si>
    <t>重複障害に対する発生日時の記入漏れ無し</t>
    <phoneticPr fontId="1"/>
  </si>
  <si>
    <t>区分未入力チェック</t>
    <rPh sb="0" eb="2">
      <t>クブン</t>
    </rPh>
    <rPh sb="2" eb="3">
      <t>ミ</t>
    </rPh>
    <rPh sb="3" eb="5">
      <t>ニュウリョク</t>
    </rPh>
    <phoneticPr fontId="1"/>
  </si>
  <si>
    <t>区分入力に対する記入漏れ無し</t>
    <phoneticPr fontId="1"/>
  </si>
  <si>
    <t>障害ランクの決定</t>
    <rPh sb="0" eb="2">
      <t>ショウガイ</t>
    </rPh>
    <rPh sb="6" eb="8">
      <t>ケッテイ</t>
    </rPh>
    <phoneticPr fontId="1"/>
  </si>
  <si>
    <t>判 定 項 目</t>
    <rPh sb="0" eb="1">
      <t>ハン</t>
    </rPh>
    <rPh sb="2" eb="3">
      <t>サダム</t>
    </rPh>
    <rPh sb="4" eb="5">
      <t>コウ</t>
    </rPh>
    <rPh sb="6" eb="7">
      <t>メ</t>
    </rPh>
    <phoneticPr fontId="1"/>
  </si>
  <si>
    <t>選択肢から選んで下さい。</t>
    <rPh sb="0" eb="3">
      <t>センタクシ</t>
    </rPh>
    <rPh sb="5" eb="6">
      <t>エラ</t>
    </rPh>
    <rPh sb="8" eb="9">
      <t>クダ</t>
    </rPh>
    <phoneticPr fontId="1"/>
  </si>
  <si>
    <t>ポイント</t>
    <phoneticPr fontId="1"/>
  </si>
  <si>
    <t>15 国・市町村への請求金額の誤り</t>
  </si>
  <si>
    <t>12 50%以上のユーザで発生する</t>
  </si>
  <si>
    <t>合　計　ポ　イ　ン　ト</t>
    <rPh sb="0" eb="1">
      <t>ゴウ</t>
    </rPh>
    <rPh sb="2" eb="3">
      <t>ケイ</t>
    </rPh>
    <phoneticPr fontId="1"/>
  </si>
  <si>
    <t>判定された障害ランク　→　</t>
    <rPh sb="0" eb="2">
      <t>ハンテイ</t>
    </rPh>
    <rPh sb="5" eb="7">
      <t>ショウガイ</t>
    </rPh>
    <phoneticPr fontId="1"/>
  </si>
  <si>
    <t>ポイント振り分け基準</t>
    <rPh sb="4" eb="5">
      <t>フ</t>
    </rPh>
    <rPh sb="6" eb="7">
      <t>ワ</t>
    </rPh>
    <rPh sb="8" eb="10">
      <t>キジュン</t>
    </rPh>
    <phoneticPr fontId="1"/>
  </si>
  <si>
    <r>
      <t xml:space="preserve">以上 → </t>
    </r>
    <r>
      <rPr>
        <b/>
        <sz val="9"/>
        <color indexed="10"/>
        <rFont val="ＭＳ Ｐゴシック"/>
        <family val="3"/>
        <charset val="128"/>
      </rPr>
      <t>AA</t>
    </r>
    <rPh sb="0" eb="2">
      <t>イジョウ</t>
    </rPh>
    <phoneticPr fontId="1"/>
  </si>
  <si>
    <r>
      <t xml:space="preserve">以上（36未満） → </t>
    </r>
    <r>
      <rPr>
        <b/>
        <sz val="9"/>
        <color indexed="10"/>
        <rFont val="ＭＳ Ｐゴシック"/>
        <family val="3"/>
        <charset val="128"/>
      </rPr>
      <t>A</t>
    </r>
    <rPh sb="0" eb="2">
      <t>イジョウ</t>
    </rPh>
    <rPh sb="5" eb="7">
      <t>ミマン</t>
    </rPh>
    <phoneticPr fontId="1"/>
  </si>
  <si>
    <r>
      <t xml:space="preserve">以上（32未満） → </t>
    </r>
    <r>
      <rPr>
        <b/>
        <sz val="9"/>
        <color indexed="10"/>
        <rFont val="ＭＳ Ｐゴシック"/>
        <family val="3"/>
        <charset val="128"/>
      </rPr>
      <t>B</t>
    </r>
    <rPh sb="0" eb="2">
      <t>イジョウ</t>
    </rPh>
    <phoneticPr fontId="1"/>
  </si>
  <si>
    <r>
      <t xml:space="preserve">以上（26未満） → </t>
    </r>
    <r>
      <rPr>
        <b/>
        <sz val="9"/>
        <color indexed="10"/>
        <rFont val="ＭＳ Ｐゴシック"/>
        <family val="3"/>
        <charset val="128"/>
      </rPr>
      <t>C</t>
    </r>
    <rPh sb="0" eb="2">
      <t>イジョウ</t>
    </rPh>
    <phoneticPr fontId="1"/>
  </si>
  <si>
    <r>
      <t xml:space="preserve">未満 → </t>
    </r>
    <r>
      <rPr>
        <b/>
        <sz val="9"/>
        <color indexed="12"/>
        <rFont val="ＭＳ Ｐゴシック"/>
        <family val="3"/>
        <charset val="128"/>
      </rPr>
      <t>D</t>
    </r>
    <rPh sb="0" eb="2">
      <t>ミマン</t>
    </rPh>
    <phoneticPr fontId="1"/>
  </si>
  <si>
    <t>リスト取得フラグ</t>
    <rPh sb="3" eb="5">
      <t>シュトク</t>
    </rPh>
    <phoneticPr fontId="1"/>
  </si>
  <si>
    <t>OK</t>
    <phoneticPr fontId="1"/>
  </si>
  <si>
    <t>取得時間</t>
    <rPh sb="0" eb="1">
      <t>シュトク</t>
    </rPh>
    <rPh sb="1" eb="3">
      <t>ジカン</t>
    </rPh>
    <phoneticPr fontId="1"/>
  </si>
  <si>
    <t>リスト更新日</t>
    <rPh sb="3" eb="6">
      <t>コウシンビ</t>
    </rPh>
    <phoneticPr fontId="1"/>
  </si>
  <si>
    <t>開始時間</t>
    <rPh sb="0" eb="2">
      <t>カイシ</t>
    </rPh>
    <rPh sb="2" eb="4">
      <t>ジカン</t>
    </rPh>
    <phoneticPr fontId="1"/>
  </si>
  <si>
    <t>リスト取得日</t>
    <rPh sb="3" eb="6">
      <t>シュトクビ</t>
    </rPh>
    <phoneticPr fontId="1"/>
  </si>
  <si>
    <t>終了時間</t>
    <rPh sb="0" eb="2">
      <t>シュウリョウ</t>
    </rPh>
    <rPh sb="2" eb="4">
      <t>ジカン</t>
    </rPh>
    <phoneticPr fontId="1"/>
  </si>
  <si>
    <t>システム名</t>
    <rPh sb="4" eb="5">
      <t>メイ</t>
    </rPh>
    <phoneticPr fontId="1"/>
  </si>
  <si>
    <t>商品種別</t>
    <rPh sb="0" eb="2">
      <t>ショウヒン</t>
    </rPh>
    <rPh sb="2" eb="4">
      <t>シュベツ</t>
    </rPh>
    <phoneticPr fontId="1"/>
  </si>
  <si>
    <t>定数</t>
    <rPh sb="0" eb="2">
      <t>テイスウ</t>
    </rPh>
    <phoneticPr fontId="1"/>
  </si>
  <si>
    <t>設定値</t>
    <rPh sb="0" eb="3">
      <t>セッテイチ</t>
    </rPh>
    <phoneticPr fontId="1"/>
  </si>
  <si>
    <t>補足説明</t>
    <rPh sb="0" eb="2">
      <t>ホソク</t>
    </rPh>
    <rPh sb="2" eb="4">
      <t>セツメイ</t>
    </rPh>
    <phoneticPr fontId="1"/>
  </si>
  <si>
    <t>最終障害発生時間帯</t>
    <rPh sb="0" eb="2">
      <t>サイシュウ</t>
    </rPh>
    <rPh sb="2" eb="4">
      <t>ショウガイ</t>
    </rPh>
    <rPh sb="4" eb="6">
      <t>ハッセイ</t>
    </rPh>
    <rPh sb="6" eb="9">
      <t>ジカンタイ</t>
    </rPh>
    <phoneticPr fontId="1"/>
  </si>
  <si>
    <t>％</t>
    <phoneticPr fontId="1"/>
  </si>
  <si>
    <t>komoku_loop</t>
    <phoneticPr fontId="1"/>
  </si>
  <si>
    <t>評価項目件数を検出する為にループさせる行数</t>
    <rPh sb="7" eb="9">
      <t>ケンシュツ</t>
    </rPh>
    <rPh sb="11" eb="12">
      <t>タメ</t>
    </rPh>
    <rPh sb="19" eb="20">
      <t>ギョウ</t>
    </rPh>
    <rPh sb="20" eb="21">
      <t>カズ</t>
    </rPh>
    <phoneticPr fontId="1"/>
  </si>
  <si>
    <t>五十嵐 悠太</t>
  </si>
  <si>
    <t>～9:00</t>
    <phoneticPr fontId="1"/>
  </si>
  <si>
    <t>自社開発商品</t>
    <rPh sb="0" eb="2">
      <t>ジシャ</t>
    </rPh>
    <rPh sb="2" eb="4">
      <t>カイハツ</t>
    </rPh>
    <rPh sb="4" eb="6">
      <t>ショウヒン</t>
    </rPh>
    <phoneticPr fontId="1"/>
  </si>
  <si>
    <t>row_loop</t>
    <phoneticPr fontId="1"/>
  </si>
  <si>
    <t>評価時間の合計行を検出する為にループさせる行数</t>
    <rPh sb="0" eb="2">
      <t>ヒョウカ</t>
    </rPh>
    <rPh sb="21" eb="22">
      <t>ギョウ</t>
    </rPh>
    <phoneticPr fontId="1"/>
  </si>
  <si>
    <t>板垣 隆之</t>
  </si>
  <si>
    <t>ほのぼの仕入商品（受入評価）</t>
    <rPh sb="4" eb="6">
      <t>シイレ</t>
    </rPh>
    <rPh sb="6" eb="8">
      <t>ショウヒン</t>
    </rPh>
    <rPh sb="9" eb="11">
      <t>ウケイレ</t>
    </rPh>
    <rPh sb="11" eb="13">
      <t>ヒョウカ</t>
    </rPh>
    <phoneticPr fontId="1"/>
  </si>
  <si>
    <t>col_loop</t>
    <phoneticPr fontId="1"/>
  </si>
  <si>
    <t>テスト時間の合計列を検出する為にループさせる列数</t>
    <rPh sb="22" eb="23">
      <t>レツ</t>
    </rPh>
    <phoneticPr fontId="1"/>
  </si>
  <si>
    <t>ほのぼの仕入商品（開発元評価）</t>
    <rPh sb="4" eb="6">
      <t>シイレ</t>
    </rPh>
    <rPh sb="6" eb="8">
      <t>ショウヒン</t>
    </rPh>
    <rPh sb="9" eb="12">
      <t>カイハツモト</t>
    </rPh>
    <rPh sb="12" eb="14">
      <t>ヒョウカ</t>
    </rPh>
    <phoneticPr fontId="1"/>
  </si>
  <si>
    <t>spc_loop</t>
    <phoneticPr fontId="1"/>
  </si>
  <si>
    <t>この数だけ連続して空白行が続いたら、評価項目の記載は無しと判断。</t>
    <rPh sb="2" eb="3">
      <t>カズ</t>
    </rPh>
    <rPh sb="5" eb="7">
      <t>レンゾク</t>
    </rPh>
    <rPh sb="9" eb="11">
      <t>クウハク</t>
    </rPh>
    <rPh sb="11" eb="12">
      <t>ギョウ</t>
    </rPh>
    <rPh sb="13" eb="14">
      <t>ツズ</t>
    </rPh>
    <rPh sb="23" eb="25">
      <t>キサイ</t>
    </rPh>
    <rPh sb="26" eb="27">
      <t>ナ</t>
    </rPh>
    <rPh sb="29" eb="31">
      <t>ハンダン</t>
    </rPh>
    <phoneticPr fontId="1"/>
  </si>
  <si>
    <t>kijun1a</t>
    <phoneticPr fontId="1"/>
  </si>
  <si>
    <t>システム部評価の障害発生率→　未満ＯＫ</t>
    <phoneticPr fontId="1"/>
  </si>
  <si>
    <t>ＮＥＸＴ　トップ</t>
  </si>
  <si>
    <t>kijun1b</t>
    <phoneticPr fontId="1"/>
  </si>
  <si>
    <t>サポート部評価の障害発生率→　未満ＯＫ</t>
    <phoneticPr fontId="1"/>
  </si>
  <si>
    <t>kijun2a</t>
    <phoneticPr fontId="1"/>
  </si>
  <si>
    <t>新規商品時の全体的な障害比率→　未満ＯＫ</t>
    <phoneticPr fontId="1"/>
  </si>
  <si>
    <t>kijun2b</t>
    <phoneticPr fontId="1"/>
  </si>
  <si>
    <t>バージョンアップ時の全体的な障害比率→　未満ＯＫ</t>
    <phoneticPr fontId="1"/>
  </si>
  <si>
    <t>kijun3</t>
    <phoneticPr fontId="1"/>
  </si>
  <si>
    <t>最終障害改修後の工数比率(%)→　以上ＯＫ</t>
    <phoneticPr fontId="1"/>
  </si>
  <si>
    <t>kijun4</t>
    <phoneticPr fontId="1"/>
  </si>
  <si>
    <t>残障害の件数→　以下ＯＫ　（但、Aランク以下）</t>
    <rPh sb="14" eb="15">
      <t>タダ</t>
    </rPh>
    <rPh sb="20" eb="22">
      <t>イカ</t>
    </rPh>
    <phoneticPr fontId="1"/>
  </si>
  <si>
    <t>18:00～</t>
    <phoneticPr fontId="1"/>
  </si>
  <si>
    <t>ＮＥＸＴ　ケアマネ</t>
  </si>
  <si>
    <t>kijun5a</t>
    <phoneticPr fontId="1"/>
  </si>
  <si>
    <t>パイロット障害の件数→　以下ＯＫ</t>
    <phoneticPr fontId="1"/>
  </si>
  <si>
    <t>kijun5b</t>
    <phoneticPr fontId="1"/>
  </si>
  <si>
    <t>パイロット障害改修後の工数比率(%)→　以上ＯＫ</t>
    <phoneticPr fontId="1"/>
  </si>
  <si>
    <t>ＮＥＸＴ　リハビリ</t>
  </si>
  <si>
    <t>sys_max</t>
    <phoneticPr fontId="1"/>
  </si>
  <si>
    <t>システム部評価者の最大数定義</t>
    <rPh sb="4" eb="5">
      <t>ブ</t>
    </rPh>
    <rPh sb="5" eb="8">
      <t>ヒョウカシャ</t>
    </rPh>
    <rPh sb="9" eb="12">
      <t>サイダイスウ</t>
    </rPh>
    <rPh sb="12" eb="14">
      <t>テイギ</t>
    </rPh>
    <phoneticPr fontId="1"/>
  </si>
  <si>
    <t>spt_max</t>
    <phoneticPr fontId="1"/>
  </si>
  <si>
    <t>サポート部評価者の最大数定義</t>
    <phoneticPr fontId="1"/>
  </si>
  <si>
    <t>kijun3x</t>
    <phoneticPr fontId="1"/>
  </si>
  <si>
    <t>最終障害改修後の工数(H)→　以上ＯＫ</t>
    <rPh sb="8" eb="10">
      <t>コウスウ</t>
    </rPh>
    <phoneticPr fontId="1"/>
  </si>
  <si>
    <t>ＮＥＸＴ　24Hシート</t>
  </si>
  <si>
    <t>ＮＥＸＴ　R4システム</t>
  </si>
  <si>
    <t>ＮＥＸＴ　クラシックモード</t>
  </si>
  <si>
    <t>ｍｏｒｅ利用者管理システム</t>
  </si>
  <si>
    <t xml:space="preserve">ｍｏｒｅヘルパースケジュール管理システム </t>
  </si>
  <si>
    <t>ｍｏｒｅ個別支援計画（救護施設向け）システム</t>
  </si>
  <si>
    <t>ｍｏｒｅ請求統合システム</t>
  </si>
  <si>
    <t>ｍｏｒｅ本部請求システム</t>
  </si>
  <si>
    <t>Web給金帳V3forほのぼの 連携用プログラム</t>
  </si>
  <si>
    <t>CPS対象者台帳システム Ver.3.00</t>
  </si>
  <si>
    <t>CPS外部取込システム Ver.3.00</t>
  </si>
  <si>
    <t>CPSサービス予約管理機能システム Ver.3.00</t>
  </si>
  <si>
    <t>CPS相談苦情受付・実態把握システム Ver.3.00</t>
  </si>
  <si>
    <t>CPS新予防給付（ケアプラン）システム Ver.3.00</t>
  </si>
  <si>
    <t>CPS新予防給付（ケアマネ）システム Ver.3.00</t>
  </si>
  <si>
    <t>CPS包括的・継続的ケアマネシステム Ver.3.00</t>
  </si>
  <si>
    <t>CPS地域支援事業システム Ver.3.00</t>
  </si>
  <si>
    <t>CPSシステム共通 Ver.3.00</t>
  </si>
  <si>
    <t>債権管理システム</t>
  </si>
  <si>
    <t>NDSアップデート</t>
  </si>
  <si>
    <t>NDSダウンローダー</t>
  </si>
  <si>
    <t>オンラインバックアップサービス</t>
  </si>
  <si>
    <t>RDSサーバー</t>
  </si>
  <si>
    <t>ほのぼのNEXTオンライン</t>
  </si>
  <si>
    <t>CELF for ほのぼの</t>
  </si>
  <si>
    <t>外部アプリ向け接続ツール（訪問系）</t>
  </si>
  <si>
    <t>徘徊みまもりアプリ</t>
  </si>
  <si>
    <t>ほのぼのIoT接続ツール（NEXT）</t>
  </si>
  <si>
    <t>ナースコール（Vi-nurse）システム</t>
  </si>
  <si>
    <t>ほのぼのNEXT空き状況連携オプション</t>
  </si>
  <si>
    <t>ほのぼのnavi</t>
  </si>
  <si>
    <t>ヘルパーアプリ</t>
  </si>
  <si>
    <t>Personal Network ぱるな</t>
  </si>
  <si>
    <t>精神科報告書支援システム</t>
  </si>
  <si>
    <t>音声入力支援システムVoicefun</t>
  </si>
  <si>
    <t>給食栄養管理Superシステム（Ver.2）</t>
  </si>
  <si>
    <t>PowerBuilder</t>
  </si>
  <si>
    <t>新潟社福軽減帳票対応ツール</t>
  </si>
  <si>
    <t>タス</t>
  </si>
  <si>
    <t>API</t>
  </si>
  <si>
    <t>集計や計算結果</t>
    <rPh sb="0" eb="2">
      <t>シュウケイ</t>
    </rPh>
    <rPh sb="3" eb="5">
      <t>ケイサン</t>
    </rPh>
    <rPh sb="5" eb="7">
      <t>ケッカ</t>
    </rPh>
    <phoneticPr fontId="2"/>
  </si>
  <si>
    <t>不正データ／ファイル破壊</t>
    <rPh sb="0" eb="2">
      <t>フセイ</t>
    </rPh>
    <rPh sb="10" eb="12">
      <t>ハカイ</t>
    </rPh>
    <phoneticPr fontId="2"/>
  </si>
  <si>
    <t>発生頻度</t>
  </si>
  <si>
    <t>障害内容の深刻度</t>
    <rPh sb="0" eb="2">
      <t>ショウガイ</t>
    </rPh>
    <rPh sb="2" eb="4">
      <t>ナイヨウ</t>
    </rPh>
    <rPh sb="5" eb="8">
      <t>シンコクド</t>
    </rPh>
    <phoneticPr fontId="2"/>
  </si>
  <si>
    <t>01 出力結果や計算の誤りなし</t>
  </si>
  <si>
    <t>01 不正データ作成やファイル破壊なし</t>
  </si>
  <si>
    <t>01 システムエラー表示なし</t>
  </si>
  <si>
    <t>01 5%以下のユーザ</t>
  </si>
  <si>
    <t>01 業務に全く支障をきたさない為、代替手段も不要</t>
  </si>
  <si>
    <t>01 軽い（障害にするか否か微妙なレベル）</t>
  </si>
  <si>
    <t>04 金額以外の数値（人数・件数など）の誤り</t>
  </si>
  <si>
    <t>06 不正データ作成（お客様運用によりデータ復旧）</t>
  </si>
  <si>
    <t>05 システムエラー（応答後、通常運用が可能）</t>
  </si>
  <si>
    <t>04 5%～20%のユーザで発生する</t>
  </si>
  <si>
    <t>03 お客様による運用回避方法や代替手段がある</t>
  </si>
  <si>
    <t>04 普通（深刻では無いが次回VerUpで必ず改修）</t>
  </si>
  <si>
    <t>08 その他の金額（一覧表など）の誤り</t>
  </si>
  <si>
    <t>09 ファイル破壊（お客様運用によりデータ復旧）</t>
  </si>
  <si>
    <t>10 システムエラー（応答後、継続運用が不可能）</t>
  </si>
  <si>
    <t>07 20%～50%のユーザで発生する</t>
  </si>
  <si>
    <t>08 代替手段や運用回避方法がない</t>
  </si>
  <si>
    <t>07 やや重い（再発送／DL公開は不要だが少し深刻）</t>
  </si>
  <si>
    <t>12 その他の金額（給与・財務・謝金など）の誤り</t>
  </si>
  <si>
    <t>09 データ削除（お客様運用によりデータ復旧）</t>
  </si>
  <si>
    <t>10 強制終了やフリーズ</t>
  </si>
  <si>
    <t>11 重い（再発送／DL公開が必要か判断が必要）</t>
  </si>
  <si>
    <t>12 利用者への請求金額の誤り</t>
  </si>
  <si>
    <t>10 不正データ作成（お客様運用ではデータ復旧せず）</t>
  </si>
  <si>
    <t>12 システムが起動できない（OLP等のIDC障害含む）</t>
  </si>
  <si>
    <t>15 深刻（再発送／DL公開が必要）</t>
  </si>
  <si>
    <t>12 データ削除（お客様運用ではデータ復旧せず）</t>
  </si>
  <si>
    <t>12 ファイル破壊（お客様運用ではデータ復旧せず）</t>
  </si>
  <si>
    <t>システムエラー／環境依存</t>
    <phoneticPr fontId="1"/>
  </si>
  <si>
    <t>代替手段・運用による回避</t>
    <phoneticPr fontId="1"/>
  </si>
  <si>
    <t>集計や計算結果</t>
    <phoneticPr fontId="1"/>
  </si>
  <si>
    <t>システムエラー/環境依存</t>
    <phoneticPr fontId="1"/>
  </si>
  <si>
    <t>代替手段･運用による回避</t>
    <phoneticPr fontId="1"/>
  </si>
  <si>
    <t>不正データ/ファイル破壊</t>
    <phoneticPr fontId="1"/>
  </si>
  <si>
    <t>顕在率（商品単位）</t>
    <phoneticPr fontId="1"/>
  </si>
  <si>
    <t>自分で思う障害の深刻度</t>
    <phoneticPr fontId="1"/>
  </si>
  <si>
    <t>Ver.1.11</t>
    <phoneticPr fontId="1"/>
  </si>
  <si>
    <t>障害管理台帳 格納フォルダ</t>
    <rPh sb="0" eb="2">
      <t>ショウガイ</t>
    </rPh>
    <rPh sb="2" eb="4">
      <t>カンリ</t>
    </rPh>
    <rPh sb="4" eb="6">
      <t>ダイチョウ</t>
    </rPh>
    <rPh sb="7" eb="9">
      <t>カクノウ</t>
    </rPh>
    <phoneticPr fontId="1"/>
  </si>
  <si>
    <t>\\sysc\ドキュメント２\最新の障害管理台帳\障害管理台帳.xlsx</t>
  </si>
  <si>
    <t>0 新規商品</t>
  </si>
  <si>
    <t>Care patrol</t>
  </si>
  <si>
    <t>相田 裕子</t>
  </si>
  <si>
    <t>青木 達哉</t>
  </si>
  <si>
    <t>秋葉 啓介</t>
  </si>
  <si>
    <t>秋葉 理恵子</t>
  </si>
  <si>
    <t>朝倉 紀英</t>
  </si>
  <si>
    <t>足立 是彦</t>
  </si>
  <si>
    <t>厚谷 忠相</t>
  </si>
  <si>
    <t>安部 和弥</t>
  </si>
  <si>
    <t>阿部 滋</t>
  </si>
  <si>
    <t>安斎 隆一</t>
  </si>
  <si>
    <t>安徳 慎一</t>
  </si>
  <si>
    <t>飯田 洋幸</t>
  </si>
  <si>
    <t>池田 祥章</t>
  </si>
  <si>
    <t>池田 瑠菜</t>
  </si>
  <si>
    <t>石井 創</t>
  </si>
  <si>
    <t>石川 康隆</t>
  </si>
  <si>
    <t>石田 拓也</t>
  </si>
  <si>
    <t>磯部 紗智</t>
  </si>
  <si>
    <t>井田 帆南</t>
  </si>
  <si>
    <t>伊藤 しのぶ</t>
  </si>
  <si>
    <t>伊藤 太貴</t>
  </si>
  <si>
    <t>伊藤 隆章</t>
  </si>
  <si>
    <t>伊藤 孝</t>
  </si>
  <si>
    <t>伊藤 智美</t>
  </si>
  <si>
    <t>伊藤 麻理奈</t>
  </si>
  <si>
    <t>井上 美和</t>
  </si>
  <si>
    <t>井上 佳典</t>
  </si>
  <si>
    <t>井上 良一</t>
  </si>
  <si>
    <t>今井 真由美</t>
  </si>
  <si>
    <t>今村 瞬</t>
  </si>
  <si>
    <t>岩木 一成</t>
  </si>
  <si>
    <t>臼居 直行</t>
  </si>
  <si>
    <t>梅津 奈未子</t>
  </si>
  <si>
    <t>梅津 仁</t>
  </si>
  <si>
    <t>梅津 光生</t>
  </si>
  <si>
    <t>梅津 ゆかり</t>
  </si>
  <si>
    <t>浦田 由美</t>
  </si>
  <si>
    <t>榎木 智樹</t>
  </si>
  <si>
    <t>遠藤 進</t>
  </si>
  <si>
    <t>遠藤 友紀</t>
  </si>
  <si>
    <t>遠藤 由紀</t>
  </si>
  <si>
    <t>及川 勝洋</t>
  </si>
  <si>
    <t>大内 孝紀</t>
  </si>
  <si>
    <t>大江 英樹</t>
  </si>
  <si>
    <t>大木 幸寛</t>
  </si>
  <si>
    <t>大澤 博子</t>
  </si>
  <si>
    <t>大滝 結</t>
  </si>
  <si>
    <t>大竹 貴臣</t>
  </si>
  <si>
    <t>大塚 雄二</t>
  </si>
  <si>
    <t>大沼 睦</t>
  </si>
  <si>
    <t>大沼 靖</t>
  </si>
  <si>
    <t>大沼 由加</t>
  </si>
  <si>
    <t>大橋 正明</t>
  </si>
  <si>
    <t>大場 裕文</t>
  </si>
  <si>
    <t>岡田 佳奈子</t>
  </si>
  <si>
    <t>緒方 孝治</t>
  </si>
  <si>
    <t>尾形 真美</t>
  </si>
  <si>
    <t>岡松 俊行</t>
  </si>
  <si>
    <t>岡本 眞一</t>
  </si>
  <si>
    <t>小川 英彦</t>
  </si>
  <si>
    <t>荻原 稔</t>
  </si>
  <si>
    <t>奥出 莉菜</t>
  </si>
  <si>
    <t>落合 尊則</t>
  </si>
  <si>
    <t>折口 悟</t>
  </si>
  <si>
    <t>折原 接子</t>
  </si>
  <si>
    <t>甲斐 優一</t>
  </si>
  <si>
    <t>梶川 達也</t>
  </si>
  <si>
    <t>柏倉 芙美</t>
  </si>
  <si>
    <t>柏原 武</t>
  </si>
  <si>
    <t>嘉藤 清美</t>
  </si>
  <si>
    <t>加藤 敏</t>
  </si>
  <si>
    <t>加藤 秀平</t>
  </si>
  <si>
    <t>加藤 友美</t>
  </si>
  <si>
    <t>金子 絵美</t>
  </si>
  <si>
    <t>金子 利浩</t>
  </si>
  <si>
    <t>金子 智彰</t>
  </si>
  <si>
    <t>金子 雄太</t>
  </si>
  <si>
    <t>兼子 侑大</t>
  </si>
  <si>
    <t>金田 明子</t>
  </si>
  <si>
    <t>上手 慶</t>
  </si>
  <si>
    <t>上村 潤</t>
  </si>
  <si>
    <t>川合 馨</t>
  </si>
  <si>
    <t>川合 千穂</t>
  </si>
  <si>
    <t>川村 篤史</t>
  </si>
  <si>
    <t>川本 真也</t>
  </si>
  <si>
    <t>菊田 真経</t>
  </si>
  <si>
    <t>菊地 明子</t>
  </si>
  <si>
    <t>菊池 篤志</t>
  </si>
  <si>
    <t>菊池 澄男</t>
  </si>
  <si>
    <t>菊地 恵</t>
  </si>
  <si>
    <t>菊地 亮次</t>
  </si>
  <si>
    <t>木皿 直樹</t>
  </si>
  <si>
    <t>木下 大輔</t>
  </si>
  <si>
    <t>木下 直人</t>
  </si>
  <si>
    <t>木村 彩</t>
  </si>
  <si>
    <t>久保 健</t>
  </si>
  <si>
    <t>久保 大輔</t>
  </si>
  <si>
    <t>倉嶋 美由紀</t>
  </si>
  <si>
    <t>黒田 孝之</t>
  </si>
  <si>
    <t>小泉 みどり</t>
  </si>
  <si>
    <t>幸山 敦</t>
  </si>
  <si>
    <t>小口 妙子</t>
  </si>
  <si>
    <t>小関 佳奈</t>
  </si>
  <si>
    <t>小関 仁志</t>
  </si>
  <si>
    <t>小関 裕也</t>
  </si>
  <si>
    <t>小関 陽子</t>
  </si>
  <si>
    <t>兒玉 亜希子</t>
  </si>
  <si>
    <t>後藤 佳奈美</t>
  </si>
  <si>
    <t>後藤 哲也</t>
  </si>
  <si>
    <t>後藤 史兆</t>
  </si>
  <si>
    <t>後藤 万里子</t>
  </si>
  <si>
    <t>後藤 優大</t>
  </si>
  <si>
    <t>後藤 裕美</t>
  </si>
  <si>
    <t>小林 純子</t>
  </si>
  <si>
    <t>小針 旭人</t>
  </si>
  <si>
    <t>小室 剛史</t>
  </si>
  <si>
    <t>小山 佳輝</t>
  </si>
  <si>
    <t>小山 恭子</t>
  </si>
  <si>
    <t>近藤 正樹</t>
  </si>
  <si>
    <t>今野 華瑠香</t>
  </si>
  <si>
    <t>齋藤 恵美</t>
  </si>
  <si>
    <t>齋藤 嘉一</t>
  </si>
  <si>
    <t>齋藤 浩一</t>
  </si>
  <si>
    <t>齋藤 慎也</t>
  </si>
  <si>
    <t>齋藤 暢慶</t>
  </si>
  <si>
    <t>齋藤 隼人</t>
  </si>
  <si>
    <t>齋藤 秀信</t>
  </si>
  <si>
    <t>齋藤 大雅</t>
  </si>
  <si>
    <t>齋藤 文敏</t>
  </si>
  <si>
    <t>齋藤 誠</t>
  </si>
  <si>
    <t>榊原 達郎</t>
  </si>
  <si>
    <t>坂本 貴弘</t>
  </si>
  <si>
    <t>作田 洋二</t>
  </si>
  <si>
    <t>迫田 武志</t>
  </si>
  <si>
    <t>佐藤 理紗</t>
  </si>
  <si>
    <t>佐藤 和也</t>
  </si>
  <si>
    <t>佐藤 健比古</t>
  </si>
  <si>
    <t>佐藤 沙織</t>
  </si>
  <si>
    <t>佐藤 大輔</t>
  </si>
  <si>
    <t>佐藤 貴範</t>
  </si>
  <si>
    <t>佐藤 知紘</t>
  </si>
  <si>
    <t>佐藤 友哉</t>
  </si>
  <si>
    <t>佐藤 徳和</t>
  </si>
  <si>
    <t>佐藤 仁啓</t>
  </si>
  <si>
    <t>佐藤 美香</t>
  </si>
  <si>
    <t>佐藤 美佐子</t>
  </si>
  <si>
    <t>佐藤 優大</t>
  </si>
  <si>
    <t>佐藤 由美子</t>
  </si>
  <si>
    <t>佐藤 佳子</t>
  </si>
  <si>
    <t>猿舘 香那</t>
  </si>
  <si>
    <t>渋谷 拓美</t>
  </si>
  <si>
    <t>清水 敏一</t>
  </si>
  <si>
    <t>小髙 義也</t>
  </si>
  <si>
    <t>仁保 淳</t>
  </si>
  <si>
    <t>神保 伊六</t>
  </si>
  <si>
    <t>須貝 鉄矢</t>
  </si>
  <si>
    <t>須貝 智子</t>
  </si>
  <si>
    <t>菅井 美幸</t>
  </si>
  <si>
    <t>須賀 信</t>
  </si>
  <si>
    <t>菅原 徹</t>
  </si>
  <si>
    <t>菅原 龍介</t>
  </si>
  <si>
    <t>杉林 あかね</t>
  </si>
  <si>
    <t>杉山 奈津美</t>
  </si>
  <si>
    <t>鈴木 彩乃</t>
  </si>
  <si>
    <t>鈴木 克也</t>
  </si>
  <si>
    <t>鈴木 清人</t>
  </si>
  <si>
    <t>鈴木 啓子</t>
  </si>
  <si>
    <t>鈴木 滋文</t>
  </si>
  <si>
    <t>鈴木 紀子</t>
  </si>
  <si>
    <t>鈴木 光貴</t>
  </si>
  <si>
    <t>鈴木 美恵</t>
  </si>
  <si>
    <t>鈴木 美里</t>
  </si>
  <si>
    <t>鈴木 泰成</t>
  </si>
  <si>
    <t>須藤 誠一</t>
  </si>
  <si>
    <t>須藤 友裕</t>
  </si>
  <si>
    <t>須藤 菜美</t>
  </si>
  <si>
    <t>首藤 弘樹</t>
  </si>
  <si>
    <t>高谷 一磨</t>
  </si>
  <si>
    <t>髙司 豊</t>
  </si>
  <si>
    <t>高橋 彩</t>
  </si>
  <si>
    <t>高橋 あゆ美</t>
  </si>
  <si>
    <t>高橋 絵里子</t>
  </si>
  <si>
    <t>高橋 和弘</t>
  </si>
  <si>
    <t>高橋 慶広</t>
  </si>
  <si>
    <t>高橋 翔人</t>
  </si>
  <si>
    <t>髙橋 大地</t>
  </si>
  <si>
    <t>髙橋 奈緒美</t>
  </si>
  <si>
    <t>高橋 則子</t>
  </si>
  <si>
    <t>高橋 仁志</t>
  </si>
  <si>
    <t>高橋 博文</t>
  </si>
  <si>
    <t>高橋 誠</t>
  </si>
  <si>
    <t>高橋 美由紀</t>
  </si>
  <si>
    <t>高橋 涼子</t>
  </si>
  <si>
    <t>高畑 望</t>
  </si>
  <si>
    <t>髙梨 恵</t>
  </si>
  <si>
    <t>武末 城司</t>
  </si>
  <si>
    <t>武田 博美</t>
  </si>
  <si>
    <t>田澤 英彦</t>
  </si>
  <si>
    <t>多田 由佳</t>
  </si>
  <si>
    <t>立花 圭</t>
  </si>
  <si>
    <t>田中 伸幸</t>
  </si>
  <si>
    <t>田中 優子</t>
  </si>
  <si>
    <t>谷口 和正</t>
  </si>
  <si>
    <t>田丸 貴行</t>
  </si>
  <si>
    <t>田宮 由惟</t>
  </si>
  <si>
    <t>田村 公彦</t>
  </si>
  <si>
    <t>田村 淳</t>
  </si>
  <si>
    <t>塚田 一久</t>
  </si>
  <si>
    <t>塚本 直彦</t>
  </si>
  <si>
    <t>對馬 武志</t>
  </si>
  <si>
    <t>土取 毅</t>
  </si>
  <si>
    <t>土屋 学</t>
  </si>
  <si>
    <t>土屋 雄貴</t>
  </si>
  <si>
    <t>田苗 美穂子</t>
  </si>
  <si>
    <t>土居 帝</t>
  </si>
  <si>
    <t>通山 敬久</t>
  </si>
  <si>
    <t>冨樫 美和子</t>
  </si>
  <si>
    <t>徳原 亜紀</t>
  </si>
  <si>
    <t>戸田 恵美</t>
  </si>
  <si>
    <t>冨永 美和</t>
  </si>
  <si>
    <t>豊田 隆一</t>
  </si>
  <si>
    <t>長尾 晶子</t>
  </si>
  <si>
    <t>長岡 健生</t>
  </si>
  <si>
    <t>中川 亜希</t>
  </si>
  <si>
    <t>中川 祥太</t>
  </si>
  <si>
    <t>中川 真弓</t>
  </si>
  <si>
    <t>長澤 明子</t>
  </si>
  <si>
    <t>中島 みどり</t>
  </si>
  <si>
    <t>那須 敦子</t>
  </si>
  <si>
    <t>新関 伸太郎</t>
  </si>
  <si>
    <t>新美 光</t>
  </si>
  <si>
    <t>西塚 弘貴</t>
  </si>
  <si>
    <t>西牧 拓</t>
  </si>
  <si>
    <t>二宮 和也</t>
  </si>
  <si>
    <t>沼沢 信正</t>
  </si>
  <si>
    <t>沼尻 学</t>
  </si>
  <si>
    <t>根津 正謙</t>
  </si>
  <si>
    <t>野口 照之</t>
  </si>
  <si>
    <t>野村 哲聖</t>
  </si>
  <si>
    <t>野呂 隆士</t>
  </si>
  <si>
    <t>羽賀 明人</t>
  </si>
  <si>
    <t>花輪 瑞穂</t>
  </si>
  <si>
    <t>浜口 倫通</t>
  </si>
  <si>
    <t>濱田 真美加</t>
  </si>
  <si>
    <t>早坂 祐哉</t>
  </si>
  <si>
    <t>原田 和人</t>
  </si>
  <si>
    <t>平井 恵子</t>
  </si>
  <si>
    <t>平田 正徳</t>
  </si>
  <si>
    <t>平田 由希子</t>
  </si>
  <si>
    <t>平間 隆一</t>
  </si>
  <si>
    <t>晝間 健史</t>
  </si>
  <si>
    <t>廣田 信昭</t>
  </si>
  <si>
    <t>舟腰 歩美</t>
  </si>
  <si>
    <t>古屋 勇輝</t>
  </si>
  <si>
    <t>古谷 幸大</t>
  </si>
  <si>
    <t>星野 隆太</t>
  </si>
  <si>
    <t>堀内 晴香</t>
  </si>
  <si>
    <t>本間 智明</t>
  </si>
  <si>
    <t>本間 優子</t>
  </si>
  <si>
    <t>前原 貴宏</t>
  </si>
  <si>
    <t>増子 孝志</t>
  </si>
  <si>
    <t>増渕 隆史</t>
  </si>
  <si>
    <t>松岡 一江</t>
  </si>
  <si>
    <t>松岡 芳典</t>
  </si>
  <si>
    <t>松田 慶子</t>
  </si>
  <si>
    <t>松田 佳菜</t>
  </si>
  <si>
    <t>松本 正彦</t>
  </si>
  <si>
    <t>丸川 千紘</t>
  </si>
  <si>
    <t>丸森 亮平</t>
  </si>
  <si>
    <t>三浦 嘉之</t>
  </si>
  <si>
    <t>三上 麻里</t>
  </si>
  <si>
    <t>三澤 正光</t>
  </si>
  <si>
    <t>水田 剛</t>
  </si>
  <si>
    <t>水野 里美</t>
  </si>
  <si>
    <t>三岳 和彦</t>
  </si>
  <si>
    <t>三本 学</t>
  </si>
  <si>
    <t>三宅 忍</t>
  </si>
  <si>
    <t>宮谷 知永子</t>
  </si>
  <si>
    <t>明星 尚</t>
  </si>
  <si>
    <t>村上 研治</t>
  </si>
  <si>
    <t>森川 寛康</t>
  </si>
  <si>
    <t>森本 哲也</t>
  </si>
  <si>
    <t>八島 史房</t>
  </si>
  <si>
    <t>保田 利幸</t>
  </si>
  <si>
    <t>簗川 美紅</t>
  </si>
  <si>
    <t>矢野 智康</t>
  </si>
  <si>
    <t>薮田 寿一</t>
  </si>
  <si>
    <t>山口 昌太</t>
  </si>
  <si>
    <t>山口 悦子</t>
  </si>
  <si>
    <t>山口 里歩</t>
  </si>
  <si>
    <t>山口 里志</t>
  </si>
  <si>
    <t>山口 晶太</t>
  </si>
  <si>
    <t>山口 雅世</t>
  </si>
  <si>
    <t>山崎 茜</t>
  </si>
  <si>
    <t>山科 智紀</t>
  </si>
  <si>
    <t>山科 倫令</t>
  </si>
  <si>
    <t>山田 諭</t>
  </si>
  <si>
    <t>山田 渓介</t>
  </si>
  <si>
    <t>山田 隼人</t>
  </si>
  <si>
    <t>山本 久世</t>
  </si>
  <si>
    <t>指谷 恵里</t>
  </si>
  <si>
    <t>横澤 和良</t>
  </si>
  <si>
    <t>横澤 英和</t>
  </si>
  <si>
    <t>横山 拓哉</t>
  </si>
  <si>
    <t>吉田 旭</t>
  </si>
  <si>
    <t>吉田 慎一</t>
  </si>
  <si>
    <t>吉田 亨</t>
  </si>
  <si>
    <t>吉田 麻希子</t>
  </si>
  <si>
    <t>吉田 雅士</t>
  </si>
  <si>
    <t>吉本 由季子</t>
  </si>
  <si>
    <t>淀野 高史</t>
  </si>
  <si>
    <t>和田 浩一</t>
  </si>
  <si>
    <t>渡瀬 英記</t>
  </si>
  <si>
    <t>渡辺 茜</t>
  </si>
  <si>
    <t>渡邉 清紘</t>
  </si>
  <si>
    <t>渡邉 悟</t>
  </si>
  <si>
    <t>渡部 純</t>
  </si>
  <si>
    <t>渡部 節子</t>
  </si>
  <si>
    <t>渡邉 博史</t>
  </si>
  <si>
    <t>渡邉 庸平</t>
  </si>
  <si>
    <t>伊藤 慎吾</t>
  </si>
  <si>
    <t>加藤 幹大</t>
  </si>
  <si>
    <t>鎌田 大輔</t>
  </si>
  <si>
    <t>川崎 竜一</t>
  </si>
  <si>
    <t>工藤 基紀</t>
  </si>
  <si>
    <t>熊谷 芳浩</t>
  </si>
  <si>
    <t>倉石 善雄</t>
  </si>
  <si>
    <t>黒山 遼平</t>
  </si>
  <si>
    <t>斉藤 真由美</t>
  </si>
  <si>
    <t>清水 雄介</t>
  </si>
  <si>
    <t>須貝 貴徳</t>
  </si>
  <si>
    <t>田渕 大貴</t>
  </si>
  <si>
    <t>中垣内 健郎</t>
  </si>
  <si>
    <t>長谷川 吾郎</t>
  </si>
  <si>
    <t>丸尾 尚史</t>
  </si>
  <si>
    <t>CarePalette（訪問系）連携ツール</t>
    <rPh sb="16" eb="18">
      <t>レンケイ</t>
    </rPh>
    <phoneticPr fontId="1"/>
  </si>
  <si>
    <t>CPS認知症初期集中支援チームシステム Ver.3.00</t>
  </si>
  <si>
    <t>CPS認知症初期集中支援チームシステム Ver.1.02</t>
  </si>
  <si>
    <t>CPS災害時安心サポートシステム Ver.1.00</t>
  </si>
  <si>
    <t>外部アプリ向けDBインターフェース</t>
  </si>
  <si>
    <t>\\sysc\ドキュメント２\フォーマット\List\List.xls</t>
  </si>
  <si>
    <t>\\aries2\06-90day\品質保証G\フォーマット\List\List.xls</t>
  </si>
  <si>
    <r>
      <t>リスト取得先</t>
    </r>
    <r>
      <rPr>
        <sz val="9"/>
        <color theme="0" tint="-0.249977111117893"/>
        <rFont val="Tahoma"/>
        <family val="2"/>
      </rPr>
      <t>1</t>
    </r>
    <rPh sb="3" eb="5">
      <t>シュトク</t>
    </rPh>
    <rPh sb="5" eb="6">
      <t>サキ</t>
    </rPh>
    <phoneticPr fontId="1"/>
  </si>
  <si>
    <r>
      <t>リスト取得先</t>
    </r>
    <r>
      <rPr>
        <sz val="9"/>
        <color theme="0" tint="-0.249977111117893"/>
        <rFont val="Tahoma"/>
        <family val="2"/>
      </rPr>
      <t>2</t>
    </r>
    <rPh sb="3" eb="5">
      <t>シュトク</t>
    </rPh>
    <rPh sb="5" eb="6">
      <t>サキ</t>
    </rPh>
    <phoneticPr fontId="1"/>
  </si>
  <si>
    <t>全評価者</t>
    <rPh sb="0" eb="1">
      <t>ゼン</t>
    </rPh>
    <rPh sb="1" eb="4">
      <t>ヒョウカシャ</t>
    </rPh>
    <phoneticPr fontId="1"/>
  </si>
  <si>
    <t>相田 智子</t>
  </si>
  <si>
    <t>相田 功子</t>
  </si>
  <si>
    <t>相場 美里</t>
  </si>
  <si>
    <t>青木 精志</t>
  </si>
  <si>
    <t>安久津 悠</t>
  </si>
  <si>
    <t>阿藤 晴香</t>
  </si>
  <si>
    <t>五十嵐 洋子</t>
  </si>
  <si>
    <t>五十嵐 康仁</t>
  </si>
  <si>
    <t>五十嵐 理絵</t>
  </si>
  <si>
    <t>池川 禎一</t>
  </si>
  <si>
    <t>石川 遙</t>
  </si>
  <si>
    <t>石倉 佑基</t>
  </si>
  <si>
    <t>泉 智子</t>
  </si>
  <si>
    <t>泉 智寿</t>
  </si>
  <si>
    <t>板坂 智裕</t>
  </si>
  <si>
    <t>出元 成一</t>
  </si>
  <si>
    <t>伊藤 秀平</t>
  </si>
  <si>
    <t>伊藤 雅治</t>
  </si>
  <si>
    <t>井上 朋</t>
  </si>
  <si>
    <t>猪股 実</t>
  </si>
  <si>
    <t>伊與田 大夢</t>
  </si>
  <si>
    <t>内山 満裕</t>
  </si>
  <si>
    <t>梅津 舞子</t>
  </si>
  <si>
    <t>梅津 真理子</t>
  </si>
  <si>
    <t>遠藤 清也</t>
  </si>
  <si>
    <t>遠藤 佑利恵</t>
  </si>
  <si>
    <t>及川 大智</t>
  </si>
  <si>
    <t>大内 崇史</t>
  </si>
  <si>
    <t>大下 さくら</t>
  </si>
  <si>
    <t>大友 米子</t>
  </si>
  <si>
    <t>大野 聡</t>
  </si>
  <si>
    <t>大橋 栄子</t>
  </si>
  <si>
    <t>小川 真紀</t>
  </si>
  <si>
    <t>小川 美由紀</t>
  </si>
  <si>
    <t>織田 将克</t>
  </si>
  <si>
    <t>海原 敏浩</t>
  </si>
  <si>
    <t>鏡 晃平</t>
  </si>
  <si>
    <t>鍵本 久利絵</t>
  </si>
  <si>
    <t>加地 史明</t>
  </si>
  <si>
    <t>亀井 未来</t>
  </si>
  <si>
    <t>亀本 伸幸</t>
  </si>
  <si>
    <t>北 美由記</t>
  </si>
  <si>
    <t>木村 崇裕</t>
  </si>
  <si>
    <t>小菓 潔</t>
  </si>
  <si>
    <t>小山 忠宝</t>
  </si>
  <si>
    <t>今 彩</t>
  </si>
  <si>
    <t>近藤 久留美</t>
  </si>
  <si>
    <t>近並 郷</t>
  </si>
  <si>
    <t>今野 啓介</t>
  </si>
  <si>
    <t>後藤 陽二</t>
  </si>
  <si>
    <t>齋藤 咲栄</t>
  </si>
  <si>
    <t>佐久間 健一</t>
  </si>
  <si>
    <t>櫻井 一樹</t>
  </si>
  <si>
    <t>櫻井 効</t>
  </si>
  <si>
    <t>佐々木 浩徳</t>
  </si>
  <si>
    <t>佐々木 航</t>
  </si>
  <si>
    <t>佐藤 京子</t>
  </si>
  <si>
    <t>佐藤 博</t>
  </si>
  <si>
    <t>佐藤 廣志</t>
  </si>
  <si>
    <t>佐藤 藤孝</t>
  </si>
  <si>
    <t>佐藤 泰秀</t>
  </si>
  <si>
    <t>佐藤 幸</t>
  </si>
  <si>
    <t>山王堂 豊</t>
  </si>
  <si>
    <t>鹿間 深雪</t>
  </si>
  <si>
    <t>島村 賢治</t>
  </si>
  <si>
    <t>東海林 利喜子</t>
  </si>
  <si>
    <t>ジョセフ・オンサリゴ</t>
  </si>
  <si>
    <t>須貝 順子</t>
  </si>
  <si>
    <t>須貝 美香</t>
  </si>
  <si>
    <t>鈴木 郁美</t>
  </si>
  <si>
    <t>鈴木 智子</t>
  </si>
  <si>
    <t>鈴木 駿</t>
  </si>
  <si>
    <t>鈴木 上太</t>
  </si>
  <si>
    <t>鈴木 隆志</t>
  </si>
  <si>
    <t>須長 裕明</t>
  </si>
  <si>
    <t>清家 健</t>
  </si>
  <si>
    <t>情野 恵里</t>
  </si>
  <si>
    <t>仙北谷 由美</t>
  </si>
  <si>
    <t>平 繁美</t>
  </si>
  <si>
    <t>高嶋 哲</t>
  </si>
  <si>
    <t>高瀬 広之</t>
  </si>
  <si>
    <t>高橋 明</t>
  </si>
  <si>
    <t>髙橋 綾乃</t>
  </si>
  <si>
    <t>高橋 沙織</t>
  </si>
  <si>
    <t>髙橋 敏之</t>
  </si>
  <si>
    <t>髙橋 宣雅</t>
  </si>
  <si>
    <t>高橋 秀明</t>
  </si>
  <si>
    <t>高橋 浩</t>
  </si>
  <si>
    <t>高橋 麻維</t>
  </si>
  <si>
    <t>髙橋 眞由佳</t>
  </si>
  <si>
    <t>高橋 美貴子</t>
  </si>
  <si>
    <t>武田 実華</t>
  </si>
  <si>
    <t>多田野 良太</t>
  </si>
  <si>
    <t>田中 克季</t>
  </si>
  <si>
    <t>田中 佑</t>
  </si>
  <si>
    <t>棚橋 里子</t>
  </si>
  <si>
    <t>中鉢 憲子</t>
  </si>
  <si>
    <t>塚田 登</t>
  </si>
  <si>
    <t>堤 勇介</t>
  </si>
  <si>
    <t>椿 一秋</t>
  </si>
  <si>
    <t>鄭 成漢</t>
  </si>
  <si>
    <t>董 明官</t>
  </si>
  <si>
    <t>東海林 由貴</t>
  </si>
  <si>
    <t>冨松 里美</t>
  </si>
  <si>
    <t>内藤 亜矢子</t>
  </si>
  <si>
    <t>中川 静香</t>
  </si>
  <si>
    <t>中川 智一</t>
  </si>
  <si>
    <t>中原 和雄</t>
  </si>
  <si>
    <t>中山 裕貴</t>
  </si>
  <si>
    <t>成瀬 義孝</t>
  </si>
  <si>
    <t>縄 侃</t>
  </si>
  <si>
    <t>西久保 圭吾</t>
  </si>
  <si>
    <t>温井 康人</t>
  </si>
  <si>
    <t>羽咋 宏晃</t>
  </si>
  <si>
    <t>長谷川 由希</t>
  </si>
  <si>
    <t>長谷部 友紀</t>
  </si>
  <si>
    <t>畠山 千里</t>
  </si>
  <si>
    <t>波多野 里美</t>
  </si>
  <si>
    <t>濱田 繁之</t>
  </si>
  <si>
    <t>林 寛之</t>
  </si>
  <si>
    <t>原 君雄</t>
  </si>
  <si>
    <t>船山 里美</t>
  </si>
  <si>
    <t>星野 裕一</t>
  </si>
  <si>
    <t>細越 逸子</t>
  </si>
  <si>
    <t>本間 友加里</t>
  </si>
  <si>
    <t>町田 千紗</t>
  </si>
  <si>
    <t>松川 美代子</t>
  </si>
  <si>
    <t>松山 幸浩</t>
  </si>
  <si>
    <t>三縄 ゆかり</t>
  </si>
  <si>
    <t>向田 寛美</t>
  </si>
  <si>
    <t>ムティソ・アレクサンダー</t>
  </si>
  <si>
    <t>村浪 智穂</t>
  </si>
  <si>
    <t>森本 英之</t>
  </si>
  <si>
    <t>森谷 隆弘</t>
  </si>
  <si>
    <t>八木 岬</t>
  </si>
  <si>
    <t>柳 宏樹</t>
  </si>
  <si>
    <t>山口 孝弘</t>
  </si>
  <si>
    <t>山畑 美雪</t>
  </si>
  <si>
    <t>吉田 正秀</t>
  </si>
  <si>
    <t>渡部 麻衣</t>
  </si>
  <si>
    <t>ＮＥＸＴ　共通</t>
    <rPh sb="5" eb="7">
      <t>キョウツウ</t>
    </rPh>
    <phoneticPr fontId="22"/>
  </si>
  <si>
    <t>ＮＥＸＴ　システム管理</t>
    <rPh sb="9" eb="11">
      <t>カンリ</t>
    </rPh>
    <phoneticPr fontId="22"/>
  </si>
  <si>
    <t>ＮＥＸＴ　職員管理</t>
    <rPh sb="5" eb="7">
      <t>ショクイン</t>
    </rPh>
    <rPh sb="7" eb="9">
      <t>カンリ</t>
    </rPh>
    <phoneticPr fontId="22"/>
  </si>
  <si>
    <t>ＮＥＸＴ　出退勤管理</t>
    <rPh sb="5" eb="8">
      <t>シュッタイキン</t>
    </rPh>
    <rPh sb="8" eb="10">
      <t>カンリ</t>
    </rPh>
    <phoneticPr fontId="22"/>
  </si>
  <si>
    <t>ＮＥＸＴ　総合進捗管理</t>
    <rPh sb="5" eb="7">
      <t>ソウゴウ</t>
    </rPh>
    <rPh sb="7" eb="9">
      <t>シンチョク</t>
    </rPh>
    <rPh sb="9" eb="11">
      <t>カンリ</t>
    </rPh>
    <phoneticPr fontId="22"/>
  </si>
  <si>
    <t>ＮＥＸＴ　入居判定</t>
    <rPh sb="5" eb="7">
      <t>ニュウキョ</t>
    </rPh>
    <rPh sb="7" eb="9">
      <t>ハンテイ</t>
    </rPh>
    <phoneticPr fontId="22"/>
  </si>
  <si>
    <t>ＮＥＸＴ　利用者管理</t>
    <rPh sb="5" eb="8">
      <t>リヨウシャ</t>
    </rPh>
    <rPh sb="8" eb="10">
      <t>カンリ</t>
    </rPh>
    <phoneticPr fontId="22"/>
  </si>
  <si>
    <t>ＮＥＸＴ　利用状況</t>
    <rPh sb="5" eb="7">
      <t>リヨウ</t>
    </rPh>
    <rPh sb="7" eb="9">
      <t>ジョウキョウ</t>
    </rPh>
    <phoneticPr fontId="22"/>
  </si>
  <si>
    <t>ＮＥＸＴ　個別計画</t>
    <rPh sb="5" eb="7">
      <t>コベツ</t>
    </rPh>
    <rPh sb="7" eb="9">
      <t>ケイカク</t>
    </rPh>
    <phoneticPr fontId="22"/>
  </si>
  <si>
    <t>ＮＥＸＴ　口腔ケア</t>
    <rPh sb="5" eb="7">
      <t>コウクウ</t>
    </rPh>
    <phoneticPr fontId="22"/>
  </si>
  <si>
    <t>ＮＥＸＴ　栄養ケア</t>
    <rPh sb="5" eb="7">
      <t>エイヨウ</t>
    </rPh>
    <phoneticPr fontId="22"/>
  </si>
  <si>
    <t>ＮＥＸＴ　褥瘡ケア</t>
    <rPh sb="5" eb="7">
      <t>ジョクソウ</t>
    </rPh>
    <phoneticPr fontId="22"/>
  </si>
  <si>
    <t>ＮＥＸＴ　実施記録</t>
    <rPh sb="5" eb="7">
      <t>ジッシ</t>
    </rPh>
    <rPh sb="7" eb="9">
      <t>キロク</t>
    </rPh>
    <phoneticPr fontId="22"/>
  </si>
  <si>
    <t>ＮＥＸＴ　請求</t>
    <rPh sb="5" eb="7">
      <t>セイキュウ</t>
    </rPh>
    <phoneticPr fontId="22"/>
  </si>
  <si>
    <t>ＮＥＸＴ　国保請求</t>
    <rPh sb="5" eb="7">
      <t>コクホ</t>
    </rPh>
    <rPh sb="7" eb="9">
      <t>セイキュウ</t>
    </rPh>
    <phoneticPr fontId="22"/>
  </si>
  <si>
    <t>ＮＥＸＴ　本部</t>
    <rPh sb="5" eb="7">
      <t>ホンブ</t>
    </rPh>
    <phoneticPr fontId="22"/>
  </si>
  <si>
    <t>ＮＥＸＴ　預り金</t>
    <rPh sb="5" eb="6">
      <t>アズカ</t>
    </rPh>
    <rPh sb="7" eb="8">
      <t>キン</t>
    </rPh>
    <phoneticPr fontId="22"/>
  </si>
  <si>
    <t>ＮＥＸＴ　賃金集計</t>
    <rPh sb="5" eb="7">
      <t>チンギン</t>
    </rPh>
    <rPh sb="7" eb="9">
      <t>シュウケイ</t>
    </rPh>
    <phoneticPr fontId="22"/>
  </si>
  <si>
    <t>ＮＥＸＴ　事業所情報管理</t>
    <rPh sb="5" eb="8">
      <t>ジギョウショ</t>
    </rPh>
    <rPh sb="8" eb="10">
      <t>ジョウホウ</t>
    </rPh>
    <rPh sb="10" eb="12">
      <t>カンリ</t>
    </rPh>
    <phoneticPr fontId="22"/>
  </si>
  <si>
    <t>ＮＥＸＴ　データ分析</t>
    <rPh sb="8" eb="10">
      <t>ブンセキ</t>
    </rPh>
    <phoneticPr fontId="22"/>
  </si>
  <si>
    <t>ＮＥＸＴ　外部連携</t>
    <rPh sb="5" eb="7">
      <t>ガイブ</t>
    </rPh>
    <rPh sb="7" eb="9">
      <t>レンケイ</t>
    </rPh>
    <phoneticPr fontId="22"/>
  </si>
  <si>
    <t>ＮＥＸＴ　提供票連携</t>
    <rPh sb="5" eb="7">
      <t>テイキョウ</t>
    </rPh>
    <rPh sb="7" eb="8">
      <t>ヒョウ</t>
    </rPh>
    <rPh sb="8" eb="10">
      <t>レンケイ</t>
    </rPh>
    <phoneticPr fontId="22"/>
  </si>
  <si>
    <t>ｍｏｒｅ共通</t>
    <rPh sb="4" eb="6">
      <t>キョウツウ</t>
    </rPh>
    <phoneticPr fontId="0"/>
  </si>
  <si>
    <t>ｍｏｒｅ統合メニュー</t>
    <rPh sb="4" eb="6">
      <t>トウゴウ</t>
    </rPh>
    <phoneticPr fontId="0"/>
  </si>
  <si>
    <t>ｍｏｒｅ計画相談支援システム</t>
    <rPh sb="4" eb="6">
      <t>ケイカク</t>
    </rPh>
    <rPh sb="6" eb="8">
      <t>ソウダン</t>
    </rPh>
    <rPh sb="8" eb="10">
      <t>シエン</t>
    </rPh>
    <phoneticPr fontId="22"/>
  </si>
  <si>
    <t>ｍｏｒｅ支援記録システム</t>
    <rPh sb="6" eb="8">
      <t>キロク</t>
    </rPh>
    <phoneticPr fontId="22"/>
  </si>
  <si>
    <t>ｍｏｒｅ請求管理システム</t>
    <rPh sb="4" eb="6">
      <t>セイキュウ</t>
    </rPh>
    <phoneticPr fontId="0"/>
  </si>
  <si>
    <t>ｍｏｒｅ個別支援計画システム</t>
    <rPh sb="4" eb="6">
      <t>コベツ</t>
    </rPh>
    <rPh sb="6" eb="8">
      <t>シエン</t>
    </rPh>
    <rPh sb="8" eb="10">
      <t>ケイカク</t>
    </rPh>
    <phoneticPr fontId="22"/>
  </si>
  <si>
    <t>ｍｏｒｅ個別支援計画（各方式版）システム</t>
    <rPh sb="4" eb="6">
      <t>コベツ</t>
    </rPh>
    <rPh sb="6" eb="8">
      <t>シエン</t>
    </rPh>
    <rPh sb="8" eb="10">
      <t>ケイカク</t>
    </rPh>
    <rPh sb="11" eb="12">
      <t>カク</t>
    </rPh>
    <rPh sb="14" eb="15">
      <t>バン</t>
    </rPh>
    <phoneticPr fontId="22"/>
  </si>
  <si>
    <t>ｍｏｒｅ個別支援計画（精神障がい者施設向け）システム</t>
    <rPh sb="4" eb="6">
      <t>コベツ</t>
    </rPh>
    <rPh sb="6" eb="8">
      <t>シエン</t>
    </rPh>
    <rPh sb="8" eb="10">
      <t>ケイカク</t>
    </rPh>
    <phoneticPr fontId="22"/>
  </si>
  <si>
    <t>ｍｏｒｅ栄養ケア・マネジメントシステム</t>
    <rPh sb="4" eb="6">
      <t>エイヨウ</t>
    </rPh>
    <phoneticPr fontId="22"/>
  </si>
  <si>
    <t>ｍｏｒｅ出納管理システム</t>
    <rPh sb="4" eb="6">
      <t>スイトウ</t>
    </rPh>
    <rPh sb="6" eb="8">
      <t>カンリ</t>
    </rPh>
    <phoneticPr fontId="22"/>
  </si>
  <si>
    <t>ｍｏｒｅシルバーランド連携オプション</t>
    <rPh sb="11" eb="13">
      <t>レンケイ</t>
    </rPh>
    <phoneticPr fontId="22"/>
  </si>
  <si>
    <t>給与管理システムVer.4</t>
    <rPh sb="2" eb="4">
      <t>カンリ</t>
    </rPh>
    <phoneticPr fontId="22"/>
  </si>
  <si>
    <t>財務会計システムVer.5</t>
    <rPh sb="2" eb="4">
      <t>カイケイ</t>
    </rPh>
    <phoneticPr fontId="22"/>
  </si>
  <si>
    <t>財務会計システムVer.6</t>
    <rPh sb="2" eb="4">
      <t>カイケイ</t>
    </rPh>
    <phoneticPr fontId="22"/>
  </si>
  <si>
    <t>人事管理システムVer.3</t>
    <rPh sb="0" eb="2">
      <t>ジンジ</t>
    </rPh>
    <rPh sb="2" eb="4">
      <t>カンリ</t>
    </rPh>
    <phoneticPr fontId="22"/>
  </si>
  <si>
    <t>基幹業務システムメニュー</t>
    <rPh sb="0" eb="2">
      <t>キカン</t>
    </rPh>
    <rPh sb="2" eb="4">
      <t>ギョウム</t>
    </rPh>
    <phoneticPr fontId="22"/>
  </si>
  <si>
    <t>CPS要援護者台帳システム Ver.3.00</t>
    <rPh sb="3" eb="4">
      <t>ヨウ</t>
    </rPh>
    <rPh sb="4" eb="7">
      <t>エンゴシャ</t>
    </rPh>
    <rPh sb="7" eb="9">
      <t>ダイチョウ</t>
    </rPh>
    <phoneticPr fontId="22"/>
  </si>
  <si>
    <t>CPS委託先業務システム</t>
    <rPh sb="3" eb="8">
      <t>イタクサキギョウム</t>
    </rPh>
    <phoneticPr fontId="0"/>
  </si>
  <si>
    <t>CPS地域包括請求業務システム</t>
    <rPh sb="3" eb="5">
      <t>チイキ</t>
    </rPh>
    <rPh sb="5" eb="7">
      <t>ホウカツ</t>
    </rPh>
    <rPh sb="7" eb="9">
      <t>セイキュウ</t>
    </rPh>
    <rPh sb="9" eb="11">
      <t>ギョウム</t>
    </rPh>
    <phoneticPr fontId="0"/>
  </si>
  <si>
    <t>CPS対象者台帳システム Ver.1.02</t>
    <rPh sb="3" eb="6">
      <t>タイショウシャ</t>
    </rPh>
    <rPh sb="6" eb="8">
      <t>ダイチョウ</t>
    </rPh>
    <phoneticPr fontId="22"/>
  </si>
  <si>
    <t>CPS外部取込システム Ver.1.02</t>
    <rPh sb="3" eb="5">
      <t>ガイブ</t>
    </rPh>
    <rPh sb="5" eb="7">
      <t>トリコミ</t>
    </rPh>
    <phoneticPr fontId="22"/>
  </si>
  <si>
    <t>CPSサービス予約管理機能システム Ver.1.02</t>
    <rPh sb="7" eb="9">
      <t>ヨヤク</t>
    </rPh>
    <rPh sb="9" eb="11">
      <t>カンリ</t>
    </rPh>
    <rPh sb="11" eb="13">
      <t>キノウ</t>
    </rPh>
    <phoneticPr fontId="22"/>
  </si>
  <si>
    <t>CPS相談苦情受付・実態把握システム Ver.1.02</t>
    <rPh sb="3" eb="5">
      <t>ソウダン</t>
    </rPh>
    <rPh sb="5" eb="7">
      <t>クジョウ</t>
    </rPh>
    <rPh sb="7" eb="9">
      <t>ウケツケ</t>
    </rPh>
    <rPh sb="10" eb="12">
      <t>ジッタイ</t>
    </rPh>
    <rPh sb="12" eb="14">
      <t>ハアク</t>
    </rPh>
    <phoneticPr fontId="22"/>
  </si>
  <si>
    <t>CPS新予防給付（ケアプラン）システム Ver.1.02</t>
    <rPh sb="3" eb="4">
      <t>シン</t>
    </rPh>
    <rPh sb="4" eb="6">
      <t>ヨボウ</t>
    </rPh>
    <rPh sb="6" eb="8">
      <t>キュウフ</t>
    </rPh>
    <phoneticPr fontId="22"/>
  </si>
  <si>
    <t>CPS新予防給付（ケアマネ）システム Ver.1.02</t>
    <rPh sb="3" eb="4">
      <t>シン</t>
    </rPh>
    <rPh sb="4" eb="6">
      <t>ヨボウ</t>
    </rPh>
    <rPh sb="6" eb="8">
      <t>キュウフ</t>
    </rPh>
    <phoneticPr fontId="22"/>
  </si>
  <si>
    <t>CPS包括的・継続的ケアマネシステム Ver.1.02</t>
    <rPh sb="3" eb="6">
      <t>ホウカツテキ</t>
    </rPh>
    <rPh sb="7" eb="10">
      <t>ケイゾクテキ</t>
    </rPh>
    <phoneticPr fontId="22"/>
  </si>
  <si>
    <t>CPS地域支援事業システム Ver.1.02</t>
    <rPh sb="3" eb="5">
      <t>チイキ</t>
    </rPh>
    <rPh sb="5" eb="7">
      <t>シエン</t>
    </rPh>
    <rPh sb="7" eb="9">
      <t>ジギョウ</t>
    </rPh>
    <phoneticPr fontId="22"/>
  </si>
  <si>
    <t>CPSシステム共通 Ver.1.02</t>
    <rPh sb="7" eb="9">
      <t>キョウツウ</t>
    </rPh>
    <phoneticPr fontId="22"/>
  </si>
  <si>
    <t>CPS要援護者台帳システム Ver.1.02</t>
    <rPh sb="3" eb="4">
      <t>ヨウ</t>
    </rPh>
    <rPh sb="4" eb="7">
      <t>エンゴシャ</t>
    </rPh>
    <rPh sb="7" eb="9">
      <t>ダイチョウ</t>
    </rPh>
    <phoneticPr fontId="22"/>
  </si>
  <si>
    <t>管理コンソール</t>
    <rPh sb="0" eb="2">
      <t>カンリ</t>
    </rPh>
    <phoneticPr fontId="22"/>
  </si>
  <si>
    <t>CarePalette（介護保険版）</t>
    <rPh sb="12" eb="14">
      <t>カイゴ</t>
    </rPh>
    <rPh sb="14" eb="16">
      <t>ホケン</t>
    </rPh>
    <rPh sb="16" eb="17">
      <t>バン</t>
    </rPh>
    <phoneticPr fontId="22"/>
  </si>
  <si>
    <t>CarePalette（障がい福祉版）</t>
    <rPh sb="12" eb="13">
      <t>ショウ</t>
    </rPh>
    <rPh sb="15" eb="17">
      <t>フクシ</t>
    </rPh>
    <rPh sb="17" eb="18">
      <t>バン</t>
    </rPh>
    <phoneticPr fontId="22"/>
  </si>
  <si>
    <t>CarePalette（端末共通）</t>
    <rPh sb="12" eb="14">
      <t>タンマツ</t>
    </rPh>
    <rPh sb="14" eb="16">
      <t>キョウツウ</t>
    </rPh>
    <phoneticPr fontId="22"/>
  </si>
  <si>
    <t>CarePalette（連携アプリ）</t>
  </si>
  <si>
    <t>CarePalette（多言語アプリ）</t>
    <rPh sb="12" eb="15">
      <t>タゲンゴ</t>
    </rPh>
    <phoneticPr fontId="22"/>
  </si>
  <si>
    <t>CarePalette（Home/Nurse）</t>
  </si>
  <si>
    <t>ほのぼのTouch　訪問アプリAndroid</t>
    <rPh sb="10" eb="12">
      <t>ホウモン</t>
    </rPh>
    <phoneticPr fontId="22"/>
  </si>
  <si>
    <t>Team接続ツール</t>
    <rPh sb="4" eb="6">
      <t>セツゾク</t>
    </rPh>
    <phoneticPr fontId="22"/>
  </si>
  <si>
    <t>お知らせ対話検索</t>
    <rPh sb="1" eb="2">
      <t>シ</t>
    </rPh>
    <rPh sb="4" eb="6">
      <t>タイワ</t>
    </rPh>
    <rPh sb="6" eb="8">
      <t>ケンサク</t>
    </rPh>
    <phoneticPr fontId="0"/>
  </si>
  <si>
    <t>勤怠管理システム Time fun</t>
    <rPh sb="0" eb="2">
      <t>キンタイ</t>
    </rPh>
    <rPh sb="2" eb="4">
      <t>カンリ</t>
    </rPh>
    <phoneticPr fontId="22"/>
  </si>
  <si>
    <t>見守り支援システム</t>
    <rPh sb="0" eb="2">
      <t>ミマモ</t>
    </rPh>
    <rPh sb="3" eb="5">
      <t>シエン</t>
    </rPh>
    <phoneticPr fontId="22"/>
  </si>
  <si>
    <t>総合健診システムStandard</t>
    <rPh sb="0" eb="2">
      <t>ソウゴウ</t>
    </rPh>
    <rPh sb="2" eb="4">
      <t>ケンシン</t>
    </rPh>
    <phoneticPr fontId="22"/>
  </si>
  <si>
    <t>総合健診システムStandard NEO</t>
    <rPh sb="0" eb="2">
      <t>ソウゴウ</t>
    </rPh>
    <rPh sb="2" eb="4">
      <t>ケンシン</t>
    </rPh>
    <phoneticPr fontId="22"/>
  </si>
  <si>
    <t>特定保健指導支援システム</t>
    <rPh sb="0" eb="2">
      <t>トクテイ</t>
    </rPh>
    <rPh sb="2" eb="4">
      <t>ホケン</t>
    </rPh>
    <rPh sb="4" eb="6">
      <t>シドウ</t>
    </rPh>
    <rPh sb="6" eb="8">
      <t>シエン</t>
    </rPh>
    <phoneticPr fontId="22"/>
  </si>
  <si>
    <t>勤務表作成システムVer.2</t>
    <rPh sb="0" eb="3">
      <t>キンムヒョウ</t>
    </rPh>
    <rPh sb="3" eb="5">
      <t>サクセイ</t>
    </rPh>
    <phoneticPr fontId="22"/>
  </si>
  <si>
    <t>タス給食栄養管理Superシステム</t>
    <rPh sb="2" eb="4">
      <t>キュウショク</t>
    </rPh>
    <rPh sb="4" eb="6">
      <t>エイヨウ</t>
    </rPh>
    <rPh sb="6" eb="8">
      <t>カンリ</t>
    </rPh>
    <phoneticPr fontId="22"/>
  </si>
  <si>
    <t>スマート・デマンド交通システム</t>
    <rPh sb="9" eb="11">
      <t>コウツウ</t>
    </rPh>
    <phoneticPr fontId="22"/>
  </si>
  <si>
    <t>携帯端末システム</t>
    <rPh sb="0" eb="2">
      <t>ケイタイ</t>
    </rPh>
    <rPh sb="2" eb="4">
      <t>タンマツ</t>
    </rPh>
    <phoneticPr fontId="22"/>
  </si>
  <si>
    <t>給与管理システムVer3</t>
    <rPh sb="2" eb="4">
      <t>カンリ</t>
    </rPh>
    <phoneticPr fontId="22"/>
  </si>
  <si>
    <t>給食栄養管理システム</t>
    <rPh sb="2" eb="4">
      <t>エイヨウ</t>
    </rPh>
    <rPh sb="4" eb="6">
      <t>カンリ</t>
    </rPh>
    <phoneticPr fontId="22"/>
  </si>
  <si>
    <t>相澤 直美</t>
  </si>
  <si>
    <t>安藤 雅晃</t>
  </si>
  <si>
    <t>伊藤 哲也</t>
  </si>
  <si>
    <t>今野 凌輔</t>
  </si>
  <si>
    <t>杉沼 友亮</t>
  </si>
  <si>
    <t>高橋 陽子</t>
  </si>
  <si>
    <t>寺嶋 彩</t>
  </si>
  <si>
    <t>徳重 美幸</t>
  </si>
  <si>
    <t>早瀬 翔</t>
  </si>
  <si>
    <t>藤原 琢志</t>
  </si>
  <si>
    <t>YC大河原</t>
  </si>
  <si>
    <t>YC長谷部</t>
  </si>
  <si>
    <t>YC遠藤</t>
  </si>
  <si>
    <t>YC菊地</t>
  </si>
  <si>
    <t>HS菊地</t>
  </si>
  <si>
    <t>HS佐藤</t>
  </si>
  <si>
    <t>HS情野</t>
  </si>
  <si>
    <t>HS山形</t>
  </si>
  <si>
    <t>4KG評価観点</t>
    <rPh sb="3" eb="5">
      <t>ヒョウカ</t>
    </rPh>
    <rPh sb="5" eb="7">
      <t>カンテン</t>
    </rPh>
    <phoneticPr fontId="1"/>
  </si>
  <si>
    <t>評価報告書を作成する際は以下の観点を参考にすること。</t>
    <rPh sb="0" eb="2">
      <t>ヒョウカ</t>
    </rPh>
    <rPh sb="2" eb="5">
      <t>ホウコクショ</t>
    </rPh>
    <rPh sb="6" eb="8">
      <t>サクセイ</t>
    </rPh>
    <rPh sb="10" eb="11">
      <t>サイ</t>
    </rPh>
    <rPh sb="12" eb="14">
      <t>イカ</t>
    </rPh>
    <rPh sb="15" eb="17">
      <t>カンテン</t>
    </rPh>
    <rPh sb="18" eb="20">
      <t>サンコウ</t>
    </rPh>
    <phoneticPr fontId="1"/>
  </si>
  <si>
    <t>特に新規に作成した登録系画面については（存在しないオペレーションを除き）全ての項目を網羅できるようにする。</t>
    <rPh sb="0" eb="1">
      <t>トク</t>
    </rPh>
    <rPh sb="2" eb="4">
      <t>シンキ</t>
    </rPh>
    <rPh sb="5" eb="7">
      <t>サクセイ</t>
    </rPh>
    <rPh sb="9" eb="11">
      <t>トウロク</t>
    </rPh>
    <rPh sb="11" eb="12">
      <t>ケイ</t>
    </rPh>
    <rPh sb="12" eb="14">
      <t>ガメン</t>
    </rPh>
    <rPh sb="20" eb="22">
      <t>ソンザイ</t>
    </rPh>
    <rPh sb="33" eb="34">
      <t>ノゾ</t>
    </rPh>
    <rPh sb="36" eb="37">
      <t>スベ</t>
    </rPh>
    <rPh sb="39" eb="41">
      <t>コウモク</t>
    </rPh>
    <rPh sb="42" eb="44">
      <t>モウラ</t>
    </rPh>
    <phoneticPr fontId="1"/>
  </si>
  <si>
    <t>大分類</t>
    <rPh sb="0" eb="3">
      <t>ダイブンルイ</t>
    </rPh>
    <phoneticPr fontId="1"/>
  </si>
  <si>
    <t>中分類</t>
    <rPh sb="0" eb="3">
      <t>チュウブンルイ</t>
    </rPh>
    <phoneticPr fontId="1"/>
  </si>
  <si>
    <t>観点項目</t>
    <rPh sb="0" eb="2">
      <t>カンテン</t>
    </rPh>
    <rPh sb="2" eb="4">
      <t>コウモク</t>
    </rPh>
    <phoneticPr fontId="1"/>
  </si>
  <si>
    <t>備考等</t>
    <rPh sb="0" eb="2">
      <t>ビコウ</t>
    </rPh>
    <rPh sb="2" eb="3">
      <t>ナド</t>
    </rPh>
    <phoneticPr fontId="1"/>
  </si>
  <si>
    <t>画面</t>
    <rPh sb="0" eb="2">
      <t>ガメン</t>
    </rPh>
    <phoneticPr fontId="1"/>
  </si>
  <si>
    <t>全体</t>
    <rPh sb="0" eb="2">
      <t>ゼンタイ</t>
    </rPh>
    <phoneticPr fontId="1"/>
  </si>
  <si>
    <t>ライセンス</t>
    <phoneticPr fontId="1"/>
  </si>
  <si>
    <t>権限</t>
    <rPh sb="0" eb="2">
      <t>ケンゲン</t>
    </rPh>
    <phoneticPr fontId="1"/>
  </si>
  <si>
    <t>画面表示（タブの権限）</t>
    <rPh sb="0" eb="2">
      <t>ガメン</t>
    </rPh>
    <rPh sb="2" eb="4">
      <t>ヒョウジ</t>
    </rPh>
    <rPh sb="8" eb="10">
      <t>ケンゲン</t>
    </rPh>
    <phoneticPr fontId="1"/>
  </si>
  <si>
    <t>ダイアログ表示の権限</t>
    <rPh sb="5" eb="7">
      <t>ヒョウジ</t>
    </rPh>
    <rPh sb="8" eb="10">
      <t>ケンゲン</t>
    </rPh>
    <phoneticPr fontId="1"/>
  </si>
  <si>
    <t>ボタンの権限</t>
    <rPh sb="4" eb="6">
      <t>ケンゲン</t>
    </rPh>
    <phoneticPr fontId="1"/>
  </si>
  <si>
    <t>更新確認</t>
    <rPh sb="0" eb="2">
      <t>コウシン</t>
    </rPh>
    <rPh sb="2" eb="4">
      <t>カクニン</t>
    </rPh>
    <phoneticPr fontId="1"/>
  </si>
  <si>
    <t>更新確認が無いのに更新できてしまう</t>
    <rPh sb="0" eb="2">
      <t>コウシン</t>
    </rPh>
    <rPh sb="2" eb="4">
      <t>カクニン</t>
    </rPh>
    <rPh sb="5" eb="6">
      <t>ナ</t>
    </rPh>
    <rPh sb="9" eb="11">
      <t>コウシン</t>
    </rPh>
    <phoneticPr fontId="1"/>
  </si>
  <si>
    <t>表示内容</t>
    <rPh sb="0" eb="2">
      <t>ヒョウジ</t>
    </rPh>
    <rPh sb="2" eb="4">
      <t>ナイヨウ</t>
    </rPh>
    <phoneticPr fontId="1"/>
  </si>
  <si>
    <t>誤字脱字</t>
    <rPh sb="0" eb="2">
      <t>ゴジ</t>
    </rPh>
    <rPh sb="2" eb="4">
      <t>ダツジ</t>
    </rPh>
    <phoneticPr fontId="1"/>
  </si>
  <si>
    <t>正式な様式と比べて誤字脱字が無いこと</t>
    <rPh sb="0" eb="2">
      <t>セイシキ</t>
    </rPh>
    <rPh sb="3" eb="5">
      <t>ヨウシキ</t>
    </rPh>
    <rPh sb="6" eb="7">
      <t>クラ</t>
    </rPh>
    <rPh sb="9" eb="11">
      <t>ゴジ</t>
    </rPh>
    <rPh sb="11" eb="13">
      <t>ダツジ</t>
    </rPh>
    <rPh sb="14" eb="15">
      <t>ナ</t>
    </rPh>
    <phoneticPr fontId="1"/>
  </si>
  <si>
    <t>※マークが表示されている
か。（必須項目）</t>
    <phoneticPr fontId="1"/>
  </si>
  <si>
    <t>必須項目の文字色は青</t>
    <rPh sb="0" eb="2">
      <t>ヒッス</t>
    </rPh>
    <rPh sb="2" eb="4">
      <t>コウモク</t>
    </rPh>
    <rPh sb="5" eb="7">
      <t>モジ</t>
    </rPh>
    <rPh sb="7" eb="8">
      <t>イロ</t>
    </rPh>
    <rPh sb="9" eb="10">
      <t>アオ</t>
    </rPh>
    <phoneticPr fontId="1"/>
  </si>
  <si>
    <t>画面タイトル</t>
    <rPh sb="0" eb="2">
      <t>ガメン</t>
    </rPh>
    <phoneticPr fontId="1"/>
  </si>
  <si>
    <t>保存単位</t>
    <rPh sb="0" eb="2">
      <t>ホゾン</t>
    </rPh>
    <rPh sb="2" eb="4">
      <t>タンイ</t>
    </rPh>
    <phoneticPr fontId="1"/>
  </si>
  <si>
    <t>マスタ等で保存単位が記載されているか</t>
    <rPh sb="3" eb="4">
      <t>トウ</t>
    </rPh>
    <rPh sb="5" eb="7">
      <t>ホゾン</t>
    </rPh>
    <rPh sb="7" eb="9">
      <t>タンイ</t>
    </rPh>
    <rPh sb="10" eb="12">
      <t>キサイ</t>
    </rPh>
    <phoneticPr fontId="1"/>
  </si>
  <si>
    <t>入力支援（ダイアログ）</t>
    <rPh sb="0" eb="2">
      <t>ニュウリョク</t>
    </rPh>
    <rPh sb="2" eb="4">
      <t>シエン</t>
    </rPh>
    <phoneticPr fontId="1"/>
  </si>
  <si>
    <t>入力支援ダイアログは適切なものが表示されるか</t>
    <rPh sb="0" eb="2">
      <t>ニュウリョク</t>
    </rPh>
    <rPh sb="2" eb="4">
      <t>シエン</t>
    </rPh>
    <rPh sb="10" eb="12">
      <t>テキセツ</t>
    </rPh>
    <rPh sb="16" eb="18">
      <t>ヒョウジ</t>
    </rPh>
    <phoneticPr fontId="1"/>
  </si>
  <si>
    <t>入力支援（ボタン）</t>
    <rPh sb="0" eb="2">
      <t>ニュウリョク</t>
    </rPh>
    <rPh sb="2" eb="4">
      <t>シエン</t>
    </rPh>
    <phoneticPr fontId="1"/>
  </si>
  <si>
    <t>入力支援ボタンは呼び出されるダイアログに応じて適切なものが選択されているか</t>
    <rPh sb="0" eb="2">
      <t>ニュウリョク</t>
    </rPh>
    <rPh sb="2" eb="4">
      <t>シエン</t>
    </rPh>
    <rPh sb="8" eb="9">
      <t>ヨ</t>
    </rPh>
    <rPh sb="10" eb="11">
      <t>ダ</t>
    </rPh>
    <rPh sb="20" eb="21">
      <t>オウ</t>
    </rPh>
    <rPh sb="23" eb="25">
      <t>テキセツ</t>
    </rPh>
    <rPh sb="29" eb="31">
      <t>センタク</t>
    </rPh>
    <phoneticPr fontId="1"/>
  </si>
  <si>
    <t>必要ないボタンの表示</t>
    <rPh sb="0" eb="2">
      <t>ヒツヨウ</t>
    </rPh>
    <rPh sb="8" eb="10">
      <t>ヒョウジ</t>
    </rPh>
    <phoneticPr fontId="1"/>
  </si>
  <si>
    <t>必要のないボタンが表示されていないこと</t>
    <rPh sb="0" eb="2">
      <t>ヒツヨウ</t>
    </rPh>
    <rPh sb="9" eb="11">
      <t>ヒョウジ</t>
    </rPh>
    <phoneticPr fontId="1"/>
  </si>
  <si>
    <t>フォントサイズが正しい</t>
    <rPh sb="8" eb="9">
      <t>タダ</t>
    </rPh>
    <phoneticPr fontId="1"/>
  </si>
  <si>
    <t>フォント形式が正しい</t>
    <rPh sb="4" eb="6">
      <t>ケイシキ</t>
    </rPh>
    <rPh sb="7" eb="8">
      <t>タダ</t>
    </rPh>
    <phoneticPr fontId="1"/>
  </si>
  <si>
    <t>不正なカラムが表示されて
いないか</t>
    <rPh sb="0" eb="2">
      <t>フセイ</t>
    </rPh>
    <rPh sb="7" eb="9">
      <t>ヒョウジ</t>
    </rPh>
    <phoneticPr fontId="1"/>
  </si>
  <si>
    <t>タブ順等も確認（見えないとこにタブ順が飛ぶ場合があります）</t>
    <rPh sb="2" eb="3">
      <t>ジュン</t>
    </rPh>
    <rPh sb="3" eb="4">
      <t>トウ</t>
    </rPh>
    <rPh sb="5" eb="7">
      <t>カクニン</t>
    </rPh>
    <rPh sb="8" eb="9">
      <t>ミ</t>
    </rPh>
    <rPh sb="17" eb="18">
      <t>ジュン</t>
    </rPh>
    <rPh sb="19" eb="20">
      <t>ト</t>
    </rPh>
    <rPh sb="21" eb="23">
      <t>バアイ</t>
    </rPh>
    <phoneticPr fontId="1"/>
  </si>
  <si>
    <t>文字切れが無いこと</t>
    <rPh sb="0" eb="2">
      <t>モジ</t>
    </rPh>
    <rPh sb="2" eb="3">
      <t>ギ</t>
    </rPh>
    <rPh sb="5" eb="6">
      <t>ナ</t>
    </rPh>
    <phoneticPr fontId="1"/>
  </si>
  <si>
    <t>期間がある場合、有効期間の
表示があるか</t>
    <rPh sb="0" eb="2">
      <t>キカン</t>
    </rPh>
    <rPh sb="5" eb="7">
      <t>バアイ</t>
    </rPh>
    <rPh sb="8" eb="10">
      <t>ユウコウ</t>
    </rPh>
    <rPh sb="10" eb="12">
      <t>キカン</t>
    </rPh>
    <rPh sb="14" eb="16">
      <t>ヒョウジ</t>
    </rPh>
    <phoneticPr fontId="1"/>
  </si>
  <si>
    <t>画面の拡大、縮小は正しく反映するか</t>
    <rPh sb="0" eb="2">
      <t>ガメン</t>
    </rPh>
    <rPh sb="3" eb="5">
      <t>カクダイ</t>
    </rPh>
    <rPh sb="6" eb="8">
      <t>シュクショウ</t>
    </rPh>
    <rPh sb="9" eb="10">
      <t>タダ</t>
    </rPh>
    <rPh sb="12" eb="14">
      <t>ハンエイ</t>
    </rPh>
    <phoneticPr fontId="1"/>
  </si>
  <si>
    <t>右寄せ、左寄せ、中央寄せ</t>
    <phoneticPr fontId="1"/>
  </si>
  <si>
    <t>入力枠</t>
    <rPh sb="0" eb="2">
      <t>ニュウリョク</t>
    </rPh>
    <rPh sb="2" eb="3">
      <t>ワク</t>
    </rPh>
    <phoneticPr fontId="1"/>
  </si>
  <si>
    <t>入力文字数</t>
    <rPh sb="0" eb="2">
      <t>ニュウリョク</t>
    </rPh>
    <rPh sb="2" eb="5">
      <t>モジスウ</t>
    </rPh>
    <phoneticPr fontId="1"/>
  </si>
  <si>
    <t>入力文字種類</t>
    <rPh sb="0" eb="2">
      <t>ニュウリョク</t>
    </rPh>
    <rPh sb="2" eb="5">
      <t>モジシュ</t>
    </rPh>
    <rPh sb="5" eb="6">
      <t>ルイ</t>
    </rPh>
    <phoneticPr fontId="1"/>
  </si>
  <si>
    <t>入力チェック</t>
    <rPh sb="0" eb="2">
      <t>ニュウリョク</t>
    </rPh>
    <phoneticPr fontId="1"/>
  </si>
  <si>
    <t>日付</t>
    <rPh sb="0" eb="2">
      <t>ヒヅケ</t>
    </rPh>
    <phoneticPr fontId="1"/>
  </si>
  <si>
    <t>一行の文字数が帳票と同じ</t>
    <rPh sb="0" eb="2">
      <t>イチギョウ</t>
    </rPh>
    <rPh sb="3" eb="6">
      <t>モジスウ</t>
    </rPh>
    <rPh sb="7" eb="9">
      <t>チョウヒョウ</t>
    </rPh>
    <rPh sb="10" eb="11">
      <t>オナ</t>
    </rPh>
    <phoneticPr fontId="1"/>
  </si>
  <si>
    <t>ダイアログを閉じた際にIMEが外れない</t>
    <rPh sb="6" eb="7">
      <t>ト</t>
    </rPh>
    <rPh sb="9" eb="10">
      <t>サイ</t>
    </rPh>
    <rPh sb="15" eb="16">
      <t>ハズ</t>
    </rPh>
    <phoneticPr fontId="1"/>
  </si>
  <si>
    <t>択一選択、複数選択が正しいか</t>
    <rPh sb="0" eb="2">
      <t>タクイツ</t>
    </rPh>
    <rPh sb="2" eb="4">
      <t>センタク</t>
    </rPh>
    <rPh sb="5" eb="7">
      <t>フクスウ</t>
    </rPh>
    <rPh sb="7" eb="9">
      <t>センタク</t>
    </rPh>
    <rPh sb="10" eb="11">
      <t>タダ</t>
    </rPh>
    <phoneticPr fontId="1"/>
  </si>
  <si>
    <t>タブ順が正しいか</t>
    <rPh sb="2" eb="3">
      <t>ジュン</t>
    </rPh>
    <rPh sb="4" eb="5">
      <t>タダ</t>
    </rPh>
    <phoneticPr fontId="1"/>
  </si>
  <si>
    <t>入力不可の箇所にタブが行くことが無いか</t>
    <rPh sb="0" eb="2">
      <t>ニュウリョク</t>
    </rPh>
    <rPh sb="2" eb="4">
      <t>フカ</t>
    </rPh>
    <rPh sb="5" eb="7">
      <t>カショ</t>
    </rPh>
    <rPh sb="11" eb="12">
      <t>イ</t>
    </rPh>
    <rPh sb="16" eb="17">
      <t>ナ</t>
    </rPh>
    <phoneticPr fontId="1"/>
  </si>
  <si>
    <t>チェックボックス等で
連動する項目</t>
    <rPh sb="8" eb="9">
      <t>トウ</t>
    </rPh>
    <rPh sb="11" eb="13">
      <t>レンドウ</t>
    </rPh>
    <rPh sb="15" eb="17">
      <t>コウモク</t>
    </rPh>
    <phoneticPr fontId="1"/>
  </si>
  <si>
    <t>フォーカスをあてるとハイライト</t>
    <phoneticPr fontId="1"/>
  </si>
  <si>
    <t>不正な文字入力時の動作</t>
    <rPh sb="0" eb="2">
      <t>フセイ</t>
    </rPh>
    <rPh sb="3" eb="5">
      <t>モジ</t>
    </rPh>
    <rPh sb="5" eb="8">
      <t>ニュウリョクジ</t>
    </rPh>
    <rPh sb="9" eb="11">
      <t>ドウサ</t>
    </rPh>
    <phoneticPr fontId="1"/>
  </si>
  <si>
    <t>元の入力値に戻り、他のカラムに移動可能</t>
    <rPh sb="0" eb="1">
      <t>モト</t>
    </rPh>
    <rPh sb="2" eb="4">
      <t>ニュウリョク</t>
    </rPh>
    <rPh sb="4" eb="5">
      <t>チ</t>
    </rPh>
    <rPh sb="6" eb="7">
      <t>モド</t>
    </rPh>
    <rPh sb="9" eb="10">
      <t>ホカ</t>
    </rPh>
    <rPh sb="15" eb="17">
      <t>イドウ</t>
    </rPh>
    <rPh sb="17" eb="19">
      <t>カノウ</t>
    </rPh>
    <phoneticPr fontId="1"/>
  </si>
  <si>
    <t>一度入力＞空白にした場合に保存できる</t>
    <rPh sb="0" eb="2">
      <t>イチド</t>
    </rPh>
    <rPh sb="2" eb="4">
      <t>ニュウリョク</t>
    </rPh>
    <rPh sb="5" eb="7">
      <t>クウハク</t>
    </rPh>
    <rPh sb="10" eb="12">
      <t>バアイ</t>
    </rPh>
    <rPh sb="13" eb="15">
      <t>ホゾン</t>
    </rPh>
    <phoneticPr fontId="1"/>
  </si>
  <si>
    <t>○を付ける場所で、未入力に戻せるか</t>
    <rPh sb="2" eb="3">
      <t>ツ</t>
    </rPh>
    <rPh sb="5" eb="7">
      <t>バショ</t>
    </rPh>
    <rPh sb="9" eb="12">
      <t>ミニュウリョク</t>
    </rPh>
    <rPh sb="13" eb="14">
      <t>モド</t>
    </rPh>
    <phoneticPr fontId="1"/>
  </si>
  <si>
    <t>未選択という可能性がある場合に、○を付けない状態に戻せること</t>
    <rPh sb="0" eb="1">
      <t>ミ</t>
    </rPh>
    <rPh sb="1" eb="3">
      <t>センタク</t>
    </rPh>
    <rPh sb="6" eb="9">
      <t>カノウセイ</t>
    </rPh>
    <rPh sb="12" eb="14">
      <t>バアイ</t>
    </rPh>
    <rPh sb="18" eb="19">
      <t>ツ</t>
    </rPh>
    <rPh sb="22" eb="24">
      <t>ジョウタイ</t>
    </rPh>
    <rPh sb="25" eb="26">
      <t>モド</t>
    </rPh>
    <phoneticPr fontId="1"/>
  </si>
  <si>
    <t>境界値チェック</t>
    <rPh sb="0" eb="2">
      <t>キョウカイ</t>
    </rPh>
    <rPh sb="2" eb="3">
      <t>チ</t>
    </rPh>
    <phoneticPr fontId="1"/>
  </si>
  <si>
    <t>境界があるカラムに対して境界の確認を行う</t>
    <rPh sb="0" eb="2">
      <t>キョウカイ</t>
    </rPh>
    <rPh sb="9" eb="10">
      <t>タイ</t>
    </rPh>
    <rPh sb="12" eb="14">
      <t>キョウカイ</t>
    </rPh>
    <rPh sb="15" eb="17">
      <t>カクニン</t>
    </rPh>
    <rPh sb="18" eb="19">
      <t>オコナ</t>
    </rPh>
    <phoneticPr fontId="1"/>
  </si>
  <si>
    <t>最新OS（Windows10）での文字切れチェック</t>
    <rPh sb="0" eb="2">
      <t>サイシン</t>
    </rPh>
    <rPh sb="17" eb="19">
      <t>モジ</t>
    </rPh>
    <rPh sb="19" eb="20">
      <t>ギ</t>
    </rPh>
    <phoneticPr fontId="1"/>
  </si>
  <si>
    <t>ドロップダウン</t>
    <phoneticPr fontId="1"/>
  </si>
  <si>
    <t>垂直スクロール</t>
    <rPh sb="0" eb="2">
      <t>スイチョク</t>
    </rPh>
    <phoneticPr fontId="1"/>
  </si>
  <si>
    <t>文字切れ</t>
    <rPh sb="0" eb="2">
      <t>モジ</t>
    </rPh>
    <rPh sb="2" eb="3">
      <t>ギ</t>
    </rPh>
    <phoneticPr fontId="1"/>
  </si>
  <si>
    <t>ポインタ</t>
    <phoneticPr fontId="1"/>
  </si>
  <si>
    <t>ボタン</t>
    <phoneticPr fontId="1"/>
  </si>
  <si>
    <t>HyperLink</t>
    <phoneticPr fontId="1"/>
  </si>
  <si>
    <t>チェックボックス</t>
    <phoneticPr fontId="1"/>
  </si>
  <si>
    <t>Arrow</t>
    <phoneticPr fontId="1"/>
  </si>
  <si>
    <t>タブ</t>
    <phoneticPr fontId="1"/>
  </si>
  <si>
    <t>保存</t>
    <rPh sb="0" eb="2">
      <t>ホゾン</t>
    </rPh>
    <phoneticPr fontId="1"/>
  </si>
  <si>
    <t>行追加＞保存</t>
    <rPh sb="0" eb="1">
      <t>ギョウ</t>
    </rPh>
    <rPh sb="1" eb="3">
      <t>ツイカ</t>
    </rPh>
    <rPh sb="4" eb="6">
      <t>ホゾン</t>
    </rPh>
    <phoneticPr fontId="1"/>
  </si>
  <si>
    <t>複数行追加＞保存</t>
    <rPh sb="0" eb="2">
      <t>フクスウ</t>
    </rPh>
    <rPh sb="2" eb="3">
      <t>ギョウ</t>
    </rPh>
    <rPh sb="3" eb="5">
      <t>ツイカ</t>
    </rPh>
    <rPh sb="6" eb="8">
      <t>ホゾン</t>
    </rPh>
    <phoneticPr fontId="1"/>
  </si>
  <si>
    <t>複数行削除＞保存</t>
    <rPh sb="0" eb="3">
      <t>フクスウギョウ</t>
    </rPh>
    <rPh sb="3" eb="5">
      <t>サクジョ</t>
    </rPh>
    <rPh sb="6" eb="8">
      <t>ホゾン</t>
    </rPh>
    <phoneticPr fontId="1"/>
  </si>
  <si>
    <t>全ての行を削除＞保存</t>
    <rPh sb="0" eb="1">
      <t>スベ</t>
    </rPh>
    <rPh sb="3" eb="4">
      <t>ギョウ</t>
    </rPh>
    <rPh sb="5" eb="7">
      <t>サクジョ</t>
    </rPh>
    <rPh sb="8" eb="10">
      <t>ホゾン</t>
    </rPh>
    <phoneticPr fontId="1"/>
  </si>
  <si>
    <t>一括削除＞保存</t>
    <rPh sb="0" eb="2">
      <t>イッカツ</t>
    </rPh>
    <rPh sb="2" eb="4">
      <t>サクジョ</t>
    </rPh>
    <rPh sb="5" eb="7">
      <t>ホゾン</t>
    </rPh>
    <phoneticPr fontId="1"/>
  </si>
  <si>
    <t>更新確認が複数表示されない</t>
    <rPh sb="0" eb="2">
      <t>コウシン</t>
    </rPh>
    <rPh sb="2" eb="4">
      <t>カクニン</t>
    </rPh>
    <rPh sb="5" eb="7">
      <t>フクスウ</t>
    </rPh>
    <rPh sb="7" eb="9">
      <t>ヒョウジ</t>
    </rPh>
    <phoneticPr fontId="1"/>
  </si>
  <si>
    <t>はい、いいえ、キャンセルの動きが正しいこと</t>
    <rPh sb="13" eb="14">
      <t>ウゴ</t>
    </rPh>
    <rPh sb="16" eb="17">
      <t>タダ</t>
    </rPh>
    <phoneticPr fontId="1"/>
  </si>
  <si>
    <t>最大文字数を保存できる</t>
    <rPh sb="0" eb="2">
      <t>サイダイ</t>
    </rPh>
    <rPh sb="2" eb="5">
      <t>モジスウ</t>
    </rPh>
    <rPh sb="6" eb="8">
      <t>ホゾン</t>
    </rPh>
    <phoneticPr fontId="1"/>
  </si>
  <si>
    <t>データのひも付き</t>
    <rPh sb="6" eb="7">
      <t>ツ</t>
    </rPh>
    <phoneticPr fontId="1"/>
  </si>
  <si>
    <t>階層になっているデータ等で、正しくデータが紐付いていること</t>
    <rPh sb="0" eb="2">
      <t>カイソウ</t>
    </rPh>
    <rPh sb="11" eb="12">
      <t>トウ</t>
    </rPh>
    <rPh sb="14" eb="15">
      <t>タダ</t>
    </rPh>
    <rPh sb="21" eb="22">
      <t>ヒモ</t>
    </rPh>
    <rPh sb="22" eb="23">
      <t>ツ</t>
    </rPh>
    <phoneticPr fontId="1"/>
  </si>
  <si>
    <t>必須項目等未入力時の動作</t>
    <rPh sb="0" eb="2">
      <t>ヒッス</t>
    </rPh>
    <rPh sb="2" eb="4">
      <t>コウモク</t>
    </rPh>
    <rPh sb="4" eb="5">
      <t>トウ</t>
    </rPh>
    <rPh sb="5" eb="9">
      <t>ミニュウリョクジ</t>
    </rPh>
    <rPh sb="10" eb="12">
      <t>ドウサ</t>
    </rPh>
    <phoneticPr fontId="1"/>
  </si>
  <si>
    <t>システムエラーにならない</t>
    <phoneticPr fontId="1"/>
  </si>
  <si>
    <t>入力不備のメッセージを表示する</t>
    <rPh sb="0" eb="2">
      <t>ニュウリョク</t>
    </rPh>
    <rPh sb="2" eb="4">
      <t>フビ</t>
    </rPh>
    <rPh sb="11" eb="13">
      <t>ヒョウジ</t>
    </rPh>
    <phoneticPr fontId="1"/>
  </si>
  <si>
    <t>再表示</t>
    <rPh sb="0" eb="3">
      <t>サイヒョウジ</t>
    </rPh>
    <phoneticPr fontId="1"/>
  </si>
  <si>
    <t>行削除＞再表示</t>
    <rPh sb="0" eb="3">
      <t>ギョウサクジョ</t>
    </rPh>
    <rPh sb="4" eb="7">
      <t>サイヒョウジ</t>
    </rPh>
    <phoneticPr fontId="1"/>
  </si>
  <si>
    <t>全削除＞再表示</t>
    <rPh sb="0" eb="3">
      <t>ゼンサクジョ</t>
    </rPh>
    <rPh sb="4" eb="7">
      <t>サイヒョウジ</t>
    </rPh>
    <phoneticPr fontId="1"/>
  </si>
  <si>
    <t>削除</t>
    <rPh sb="0" eb="2">
      <t>サクジョ</t>
    </rPh>
    <phoneticPr fontId="1"/>
  </si>
  <si>
    <t>一行も無い状態で行削除ボタン</t>
    <rPh sb="0" eb="2">
      <t>イチギョウ</t>
    </rPh>
    <rPh sb="3" eb="4">
      <t>ナ</t>
    </rPh>
    <rPh sb="5" eb="7">
      <t>ジョウタイ</t>
    </rPh>
    <rPh sb="8" eb="11">
      <t>ギョウサクジョ</t>
    </rPh>
    <phoneticPr fontId="1"/>
  </si>
  <si>
    <t>一つも履歴が無い状態で、削除ボタン</t>
    <rPh sb="0" eb="1">
      <t>ヒト</t>
    </rPh>
    <rPh sb="3" eb="5">
      <t>リレキ</t>
    </rPh>
    <rPh sb="6" eb="7">
      <t>ナ</t>
    </rPh>
    <rPh sb="8" eb="10">
      <t>ジョウタイ</t>
    </rPh>
    <rPh sb="12" eb="14">
      <t>サクジョ</t>
    </rPh>
    <phoneticPr fontId="1"/>
  </si>
  <si>
    <t>削除状態では操作が行えない</t>
    <rPh sb="0" eb="2">
      <t>サクジョ</t>
    </rPh>
    <rPh sb="2" eb="4">
      <t>ジョウタイ</t>
    </rPh>
    <rPh sb="6" eb="8">
      <t>ソウサ</t>
    </rPh>
    <rPh sb="9" eb="10">
      <t>オコナ</t>
    </rPh>
    <phoneticPr fontId="1"/>
  </si>
  <si>
    <t>取込</t>
    <rPh sb="0" eb="2">
      <t>トリコミ</t>
    </rPh>
    <phoneticPr fontId="1"/>
  </si>
  <si>
    <t>権限の設定は問題ないですが、</t>
    <rPh sb="0" eb="2">
      <t>ケンゲン</t>
    </rPh>
    <rPh sb="3" eb="5">
      <t>セッテイ</t>
    </rPh>
    <rPh sb="6" eb="8">
      <t>モンダイ</t>
    </rPh>
    <phoneticPr fontId="1"/>
  </si>
  <si>
    <t>個別取込と一括取り込み</t>
    <rPh sb="0" eb="2">
      <t>コベツ</t>
    </rPh>
    <rPh sb="2" eb="4">
      <t>トリコミ</t>
    </rPh>
    <rPh sb="5" eb="7">
      <t>イッカツ</t>
    </rPh>
    <rPh sb="7" eb="8">
      <t>ト</t>
    </rPh>
    <rPh sb="9" eb="10">
      <t>コ</t>
    </rPh>
    <phoneticPr fontId="1"/>
  </si>
  <si>
    <t>差異がないもしくは正しく取り込まれる</t>
    <rPh sb="0" eb="2">
      <t>サイ</t>
    </rPh>
    <rPh sb="9" eb="10">
      <t>タダ</t>
    </rPh>
    <rPh sb="12" eb="13">
      <t>ト</t>
    </rPh>
    <rPh sb="14" eb="15">
      <t>コ</t>
    </rPh>
    <phoneticPr fontId="1"/>
  </si>
  <si>
    <t>取込画面と起動元画面</t>
    <phoneticPr fontId="1"/>
  </si>
  <si>
    <t>カラムのサイズは同一か</t>
    <rPh sb="8" eb="10">
      <t>ドウイツ</t>
    </rPh>
    <phoneticPr fontId="1"/>
  </si>
  <si>
    <t>取込まれた内容が正しい
カラムに入力されること</t>
    <rPh sb="5" eb="7">
      <t>ナイヨウ</t>
    </rPh>
    <rPh sb="8" eb="9">
      <t>タダ</t>
    </rPh>
    <rPh sb="16" eb="18">
      <t>ニュウリョク</t>
    </rPh>
    <phoneticPr fontId="1"/>
  </si>
  <si>
    <t>取込処理直後の動作</t>
    <rPh sb="0" eb="2">
      <t>トリコミ</t>
    </rPh>
    <rPh sb="2" eb="4">
      <t>ショリ</t>
    </rPh>
    <rPh sb="4" eb="6">
      <t>チョクゴ</t>
    </rPh>
    <rPh sb="7" eb="9">
      <t>ドウサ</t>
    </rPh>
    <phoneticPr fontId="1"/>
  </si>
  <si>
    <t>保存、再取込、削除等</t>
    <rPh sb="0" eb="2">
      <t>ホゾン</t>
    </rPh>
    <rPh sb="3" eb="6">
      <t>サイトリコミ</t>
    </rPh>
    <rPh sb="7" eb="9">
      <t>サクジョ</t>
    </rPh>
    <rPh sb="9" eb="10">
      <t>トウ</t>
    </rPh>
    <phoneticPr fontId="1"/>
  </si>
  <si>
    <t>利用者リスト</t>
    <rPh sb="0" eb="3">
      <t>リヨウシャ</t>
    </rPh>
    <phoneticPr fontId="1"/>
  </si>
  <si>
    <t>同じ第一階層内では再作成されない場合がある</t>
    <rPh sb="0" eb="1">
      <t>オナ</t>
    </rPh>
    <rPh sb="2" eb="4">
      <t>ダイイチ</t>
    </rPh>
    <rPh sb="4" eb="6">
      <t>カイソウ</t>
    </rPh>
    <rPh sb="6" eb="7">
      <t>ナイ</t>
    </rPh>
    <rPh sb="9" eb="12">
      <t>サイサクセイ</t>
    </rPh>
    <rPh sb="16" eb="18">
      <t>バアイ</t>
    </rPh>
    <phoneticPr fontId="1"/>
  </si>
  <si>
    <t>▼▲ボタン</t>
    <phoneticPr fontId="1"/>
  </si>
  <si>
    <t>ボタン動作</t>
    <rPh sb="3" eb="5">
      <t>ドウサ</t>
    </rPh>
    <phoneticPr fontId="1"/>
  </si>
  <si>
    <t>権限があるにも関わる動作しないボタンは無いか</t>
    <rPh sb="0" eb="2">
      <t>ケンゲン</t>
    </rPh>
    <rPh sb="7" eb="8">
      <t>カカ</t>
    </rPh>
    <rPh sb="10" eb="12">
      <t>ドウサ</t>
    </rPh>
    <rPh sb="19" eb="20">
      <t>ナ</t>
    </rPh>
    <phoneticPr fontId="1"/>
  </si>
  <si>
    <t>トグルボタン</t>
    <phoneticPr fontId="1"/>
  </si>
  <si>
    <t>正しく動作するか</t>
    <rPh sb="0" eb="1">
      <t>タダ</t>
    </rPh>
    <rPh sb="3" eb="5">
      <t>ドウサ</t>
    </rPh>
    <phoneticPr fontId="1"/>
  </si>
  <si>
    <t>閉じる（×）</t>
    <rPh sb="0" eb="1">
      <t>ト</t>
    </rPh>
    <phoneticPr fontId="1"/>
  </si>
  <si>
    <t>正しくウィンドウが閉じること</t>
    <rPh sb="0" eb="1">
      <t>タダ</t>
    </rPh>
    <rPh sb="9" eb="10">
      <t>ト</t>
    </rPh>
    <phoneticPr fontId="1"/>
  </si>
  <si>
    <t>ドロップダウンに常に▼</t>
    <rPh sb="8" eb="9">
      <t>ツネ</t>
    </rPh>
    <phoneticPr fontId="1"/>
  </si>
  <si>
    <t>ドロップダウンに▼は常に表示されている</t>
    <phoneticPr fontId="1"/>
  </si>
  <si>
    <t>色はガイドライン通り</t>
    <rPh sb="0" eb="1">
      <t>イロ</t>
    </rPh>
    <rPh sb="8" eb="9">
      <t>ドオ</t>
    </rPh>
    <phoneticPr fontId="1"/>
  </si>
  <si>
    <t>虫めがねボタンの動作</t>
    <rPh sb="0" eb="1">
      <t>ムシ</t>
    </rPh>
    <rPh sb="8" eb="10">
      <t>ドウサ</t>
    </rPh>
    <phoneticPr fontId="1"/>
  </si>
  <si>
    <t>チェックボックスで選択なしを作れる</t>
    <rPh sb="9" eb="11">
      <t>センタク</t>
    </rPh>
    <rPh sb="14" eb="15">
      <t>ツク</t>
    </rPh>
    <phoneticPr fontId="1"/>
  </si>
  <si>
    <t>行の高さ調整</t>
    <rPh sb="0" eb="1">
      <t>ギョウ</t>
    </rPh>
    <rPh sb="2" eb="3">
      <t>タカ</t>
    </rPh>
    <rPh sb="4" eb="6">
      <t>チョウセイ</t>
    </rPh>
    <phoneticPr fontId="1"/>
  </si>
  <si>
    <t>行の高さ調整ボタンが機能する</t>
    <rPh sb="0" eb="1">
      <t>ギョウ</t>
    </rPh>
    <rPh sb="2" eb="3">
      <t>タカ</t>
    </rPh>
    <rPh sb="4" eb="6">
      <t>チョウセイ</t>
    </rPh>
    <rPh sb="10" eb="12">
      <t>キノウ</t>
    </rPh>
    <phoneticPr fontId="1"/>
  </si>
  <si>
    <t>初期値</t>
    <rPh sb="0" eb="2">
      <t>ショキ</t>
    </rPh>
    <rPh sb="2" eb="3">
      <t>チ</t>
    </rPh>
    <phoneticPr fontId="1"/>
  </si>
  <si>
    <t>正しい初期値が表示される</t>
    <rPh sb="0" eb="1">
      <t>タダ</t>
    </rPh>
    <rPh sb="3" eb="6">
      <t>ショキチ</t>
    </rPh>
    <rPh sb="7" eb="9">
      <t>ヒョウジ</t>
    </rPh>
    <phoneticPr fontId="1"/>
  </si>
  <si>
    <t>マスタの設定</t>
    <rPh sb="4" eb="6">
      <t>セッテイ</t>
    </rPh>
    <phoneticPr fontId="1"/>
  </si>
  <si>
    <t>計画対象期間の有無</t>
    <rPh sb="0" eb="2">
      <t>ケイカク</t>
    </rPh>
    <rPh sb="2" eb="4">
      <t>タイショウ</t>
    </rPh>
    <rPh sb="4" eb="6">
      <t>キカン</t>
    </rPh>
    <rPh sb="7" eb="9">
      <t>ウム</t>
    </rPh>
    <phoneticPr fontId="1"/>
  </si>
  <si>
    <t>メッセージ</t>
    <phoneticPr fontId="1"/>
  </si>
  <si>
    <t>表示されたメッセージ</t>
    <rPh sb="0" eb="2">
      <t>ヒョウジ</t>
    </rPh>
    <phoneticPr fontId="1"/>
  </si>
  <si>
    <t>表示順</t>
    <rPh sb="0" eb="2">
      <t>ヒョウジ</t>
    </rPh>
    <rPh sb="2" eb="3">
      <t>ジュン</t>
    </rPh>
    <phoneticPr fontId="1"/>
  </si>
  <si>
    <t>表示順変更画面で変更した表示順が変更されるか</t>
    <rPh sb="0" eb="2">
      <t>ヒョウジ</t>
    </rPh>
    <rPh sb="2" eb="3">
      <t>ジュン</t>
    </rPh>
    <rPh sb="3" eb="5">
      <t>ヘンコウ</t>
    </rPh>
    <rPh sb="5" eb="7">
      <t>ガメン</t>
    </rPh>
    <rPh sb="8" eb="10">
      <t>ヘンコウ</t>
    </rPh>
    <rPh sb="12" eb="14">
      <t>ヒョウジ</t>
    </rPh>
    <rPh sb="14" eb="15">
      <t>ジュン</t>
    </rPh>
    <rPh sb="16" eb="18">
      <t>ヘンコウ</t>
    </rPh>
    <phoneticPr fontId="1"/>
  </si>
  <si>
    <t>ドロップダウンでも表示順変更画面の変更が反映されるか</t>
    <rPh sb="17" eb="19">
      <t>ヘンコウ</t>
    </rPh>
    <rPh sb="20" eb="22">
      <t>ハンエイ</t>
    </rPh>
    <phoneticPr fontId="1"/>
  </si>
  <si>
    <t>ヘッダのクリックで表示順が変更となる</t>
    <rPh sb="9" eb="11">
      <t>ヒョウジ</t>
    </rPh>
    <rPh sb="11" eb="12">
      <t>ジュン</t>
    </rPh>
    <rPh sb="13" eb="15">
      <t>ヘンコウ</t>
    </rPh>
    <phoneticPr fontId="1"/>
  </si>
  <si>
    <t>スクロールバー</t>
    <phoneticPr fontId="1"/>
  </si>
  <si>
    <t>画面全体</t>
    <rPh sb="0" eb="2">
      <t>ガメン</t>
    </rPh>
    <rPh sb="2" eb="4">
      <t>ゼンタイ</t>
    </rPh>
    <phoneticPr fontId="1"/>
  </si>
  <si>
    <t>マスタ</t>
    <phoneticPr fontId="1"/>
  </si>
  <si>
    <t>文書マスタの項目は正しいか</t>
    <rPh sb="0" eb="2">
      <t>ブンショ</t>
    </rPh>
    <rPh sb="6" eb="8">
      <t>コウモク</t>
    </rPh>
    <rPh sb="9" eb="10">
      <t>タダ</t>
    </rPh>
    <phoneticPr fontId="1"/>
  </si>
  <si>
    <t>他ボタンでマスタ等を登録した場合は、起動元画面に登録した内容が反映されるか</t>
    <phoneticPr fontId="1"/>
  </si>
  <si>
    <t>必要なマスタが呼び出せるか</t>
    <rPh sb="0" eb="2">
      <t>ヒツヨウ</t>
    </rPh>
    <rPh sb="7" eb="8">
      <t>ヨ</t>
    </rPh>
    <rPh sb="9" eb="10">
      <t>ダ</t>
    </rPh>
    <phoneticPr fontId="1"/>
  </si>
  <si>
    <t>設定の変更が必要なマスタが適切に呼び出せること</t>
    <rPh sb="0" eb="2">
      <t>セッテイ</t>
    </rPh>
    <rPh sb="3" eb="5">
      <t>ヘンコウ</t>
    </rPh>
    <rPh sb="6" eb="8">
      <t>ヒツヨウ</t>
    </rPh>
    <rPh sb="13" eb="15">
      <t>テキセツ</t>
    </rPh>
    <rPh sb="16" eb="17">
      <t>ヨ</t>
    </rPh>
    <rPh sb="18" eb="19">
      <t>ダ</t>
    </rPh>
    <phoneticPr fontId="1"/>
  </si>
  <si>
    <t>計画期間</t>
    <rPh sb="0" eb="2">
      <t>ケイカク</t>
    </rPh>
    <rPh sb="2" eb="4">
      <t>キカン</t>
    </rPh>
    <phoneticPr fontId="1"/>
  </si>
  <si>
    <t>未登録時はボタンが押せない</t>
    <rPh sb="0" eb="3">
      <t>ミトウロク</t>
    </rPh>
    <rPh sb="3" eb="4">
      <t>ジ</t>
    </rPh>
    <rPh sb="9" eb="10">
      <t>オ</t>
    </rPh>
    <phoneticPr fontId="1"/>
  </si>
  <si>
    <t>月途中保険変更</t>
    <rPh sb="0" eb="1">
      <t>ツキ</t>
    </rPh>
    <rPh sb="1" eb="3">
      <t>トチュウ</t>
    </rPh>
    <rPh sb="3" eb="5">
      <t>ホケン</t>
    </rPh>
    <rPh sb="5" eb="7">
      <t>ヘンコウ</t>
    </rPh>
    <phoneticPr fontId="1"/>
  </si>
  <si>
    <t>考慮された動作となっているか</t>
    <rPh sb="0" eb="2">
      <t>コウリョ</t>
    </rPh>
    <rPh sb="5" eb="7">
      <t>ドウサ</t>
    </rPh>
    <phoneticPr fontId="1"/>
  </si>
  <si>
    <t>ショートカット</t>
    <phoneticPr fontId="1"/>
  </si>
  <si>
    <t>F4キーでカレンダーボタンが開く</t>
    <rPh sb="14" eb="15">
      <t>ヒラ</t>
    </rPh>
    <phoneticPr fontId="1"/>
  </si>
  <si>
    <t>複写</t>
    <rPh sb="0" eb="2">
      <t>フクシャ</t>
    </rPh>
    <phoneticPr fontId="1"/>
  </si>
  <si>
    <t>計画期間を跨いだ際に正しく複写が行われるか</t>
    <rPh sb="0" eb="2">
      <t>ケイカク</t>
    </rPh>
    <rPh sb="2" eb="4">
      <t>キカン</t>
    </rPh>
    <rPh sb="5" eb="6">
      <t>マタ</t>
    </rPh>
    <rPh sb="8" eb="9">
      <t>サイ</t>
    </rPh>
    <rPh sb="10" eb="11">
      <t>タダ</t>
    </rPh>
    <rPh sb="13" eb="15">
      <t>フクシャ</t>
    </rPh>
    <rPh sb="16" eb="17">
      <t>オコナ</t>
    </rPh>
    <phoneticPr fontId="1"/>
  </si>
  <si>
    <t>期間、時間</t>
    <rPh sb="0" eb="2">
      <t>キカン</t>
    </rPh>
    <rPh sb="3" eb="5">
      <t>ジカン</t>
    </rPh>
    <phoneticPr fontId="1"/>
  </si>
  <si>
    <t>基準日の動作が正しいこと</t>
    <rPh sb="0" eb="3">
      <t>キジュンビ</t>
    </rPh>
    <rPh sb="4" eb="6">
      <t>ドウサ</t>
    </rPh>
    <rPh sb="7" eb="8">
      <t>タダ</t>
    </rPh>
    <phoneticPr fontId="1"/>
  </si>
  <si>
    <t>帳票</t>
    <rPh sb="0" eb="2">
      <t>チョウヒョウ</t>
    </rPh>
    <phoneticPr fontId="1"/>
  </si>
  <si>
    <t>帳票内容</t>
    <rPh sb="0" eb="2">
      <t>チョウヒョウ</t>
    </rPh>
    <rPh sb="2" eb="4">
      <t>ナイヨウ</t>
    </rPh>
    <phoneticPr fontId="1"/>
  </si>
  <si>
    <t>正式な様式と比較し、誤字脱字が無いこと</t>
    <rPh sb="0" eb="2">
      <t>セイシキ</t>
    </rPh>
    <rPh sb="3" eb="5">
      <t>ヨウシキ</t>
    </rPh>
    <rPh sb="6" eb="8">
      <t>ヒカク</t>
    </rPh>
    <rPh sb="10" eb="12">
      <t>ゴジ</t>
    </rPh>
    <rPh sb="12" eb="14">
      <t>ダツジ</t>
    </rPh>
    <rPh sb="15" eb="16">
      <t>ナ</t>
    </rPh>
    <phoneticPr fontId="1"/>
  </si>
  <si>
    <t>文字切れが無い</t>
    <rPh sb="0" eb="2">
      <t>モジ</t>
    </rPh>
    <rPh sb="2" eb="3">
      <t>ギ</t>
    </rPh>
    <rPh sb="5" eb="6">
      <t>ナ</t>
    </rPh>
    <phoneticPr fontId="1"/>
  </si>
  <si>
    <t>印字位置がただしいこと</t>
    <phoneticPr fontId="1"/>
  </si>
  <si>
    <t>印刷オプションは正しく動作するか</t>
    <rPh sb="0" eb="2">
      <t>インサツ</t>
    </rPh>
    <rPh sb="8" eb="9">
      <t>タダ</t>
    </rPh>
    <rPh sb="11" eb="13">
      <t>ドウサ</t>
    </rPh>
    <phoneticPr fontId="1"/>
  </si>
  <si>
    <t>記入がない箇所の印字</t>
    <rPh sb="0" eb="2">
      <t>キニュウ</t>
    </rPh>
    <rPh sb="5" eb="7">
      <t>カショ</t>
    </rPh>
    <rPh sb="8" eb="10">
      <t>インジ</t>
    </rPh>
    <phoneticPr fontId="1"/>
  </si>
  <si>
    <t>複数印刷時前のデータが残らない</t>
    <rPh sb="0" eb="2">
      <t>フクスウ</t>
    </rPh>
    <rPh sb="2" eb="4">
      <t>インサツ</t>
    </rPh>
    <rPh sb="4" eb="5">
      <t>ジ</t>
    </rPh>
    <rPh sb="5" eb="6">
      <t>マエ</t>
    </rPh>
    <rPh sb="11" eb="12">
      <t>ノコ</t>
    </rPh>
    <phoneticPr fontId="1"/>
  </si>
  <si>
    <t>記入用シート</t>
    <rPh sb="0" eb="3">
      <t>キニュウヨウ</t>
    </rPh>
    <phoneticPr fontId="1"/>
  </si>
  <si>
    <t>保存済みの内容が表示されないこと</t>
    <rPh sb="0" eb="2">
      <t>ホゾン</t>
    </rPh>
    <rPh sb="2" eb="3">
      <t>ズ</t>
    </rPh>
    <rPh sb="5" eb="7">
      <t>ナイヨウ</t>
    </rPh>
    <rPh sb="8" eb="10">
      <t>ヒョウジ</t>
    </rPh>
    <phoneticPr fontId="1"/>
  </si>
  <si>
    <t>敬称が正しく印字されること</t>
    <rPh sb="0" eb="2">
      <t>ケイショウ</t>
    </rPh>
    <rPh sb="3" eb="4">
      <t>タダ</t>
    </rPh>
    <rPh sb="6" eb="8">
      <t>インジ</t>
    </rPh>
    <phoneticPr fontId="1"/>
  </si>
  <si>
    <t>１行あたりの印字数が画面と同じ</t>
    <rPh sb="1" eb="2">
      <t>ギョウ</t>
    </rPh>
    <rPh sb="6" eb="8">
      <t>インジ</t>
    </rPh>
    <rPh sb="8" eb="9">
      <t>スウ</t>
    </rPh>
    <rPh sb="10" eb="12">
      <t>ガメン</t>
    </rPh>
    <rPh sb="13" eb="14">
      <t>ドウ</t>
    </rPh>
    <phoneticPr fontId="1"/>
  </si>
  <si>
    <t>別紙での印刷は正しく行われるか</t>
    <rPh sb="0" eb="2">
      <t>ベッシ</t>
    </rPh>
    <rPh sb="4" eb="6">
      <t>インサツ</t>
    </rPh>
    <rPh sb="7" eb="8">
      <t>タダ</t>
    </rPh>
    <rPh sb="10" eb="11">
      <t>オコナ</t>
    </rPh>
    <phoneticPr fontId="1"/>
  </si>
  <si>
    <t>印刷日付の設定は正しく反映するか</t>
    <rPh sb="0" eb="2">
      <t>インサツ</t>
    </rPh>
    <rPh sb="2" eb="4">
      <t>ヒヅケ</t>
    </rPh>
    <rPh sb="5" eb="7">
      <t>セッテイ</t>
    </rPh>
    <rPh sb="8" eb="9">
      <t>タダ</t>
    </rPh>
    <rPh sb="11" eb="13">
      <t>ハンエイ</t>
    </rPh>
    <phoneticPr fontId="1"/>
  </si>
  <si>
    <t>帳票名の反映</t>
    <rPh sb="0" eb="2">
      <t>チョウヒョウ</t>
    </rPh>
    <rPh sb="2" eb="3">
      <t>メイ</t>
    </rPh>
    <rPh sb="4" eb="6">
      <t>ハンエイ</t>
    </rPh>
    <phoneticPr fontId="1"/>
  </si>
  <si>
    <t>帳票名が正しく反映されること</t>
    <rPh sb="0" eb="2">
      <t>チョウヒョウ</t>
    </rPh>
    <rPh sb="2" eb="3">
      <t>メイ</t>
    </rPh>
    <rPh sb="4" eb="5">
      <t>タダ</t>
    </rPh>
    <rPh sb="7" eb="9">
      <t>ハンエイ</t>
    </rPh>
    <phoneticPr fontId="1"/>
  </si>
  <si>
    <t>複数ページにまたがる場合</t>
    <rPh sb="0" eb="2">
      <t>フクスウ</t>
    </rPh>
    <rPh sb="10" eb="12">
      <t>バアイ</t>
    </rPh>
    <phoneticPr fontId="1"/>
  </si>
  <si>
    <t>文字切れ等が起きないこと（カラムごと次ページなどだとベスト）</t>
    <rPh sb="0" eb="2">
      <t>モジ</t>
    </rPh>
    <rPh sb="2" eb="3">
      <t>ギ</t>
    </rPh>
    <rPh sb="4" eb="5">
      <t>トウ</t>
    </rPh>
    <rPh sb="6" eb="7">
      <t>オ</t>
    </rPh>
    <rPh sb="18" eb="19">
      <t>ツギ</t>
    </rPh>
    <phoneticPr fontId="1"/>
  </si>
  <si>
    <t>履歴の表示順</t>
    <rPh sb="0" eb="2">
      <t>リレキ</t>
    </rPh>
    <rPh sb="3" eb="5">
      <t>ヒョウジ</t>
    </rPh>
    <rPh sb="5" eb="6">
      <t>ジュン</t>
    </rPh>
    <phoneticPr fontId="1"/>
  </si>
  <si>
    <t>帳票内容はプレビューだけでなく実際の印刷でも確認すること（PDFも可）</t>
    <rPh sb="0" eb="2">
      <t>チョウヒョウ</t>
    </rPh>
    <rPh sb="2" eb="4">
      <t>ナイヨウ</t>
    </rPh>
    <rPh sb="15" eb="17">
      <t>ジッサイ</t>
    </rPh>
    <rPh sb="18" eb="20">
      <t>インサツ</t>
    </rPh>
    <rPh sb="22" eb="24">
      <t>カクニン</t>
    </rPh>
    <rPh sb="33" eb="34">
      <t>カ</t>
    </rPh>
    <phoneticPr fontId="1"/>
  </si>
  <si>
    <t>印刷プレビュー</t>
    <rPh sb="0" eb="2">
      <t>インサツ</t>
    </rPh>
    <phoneticPr fontId="1"/>
  </si>
  <si>
    <t>印刷物の内容と差異が無いか</t>
    <rPh sb="0" eb="2">
      <t>インサツ</t>
    </rPh>
    <rPh sb="2" eb="3">
      <t>ブツ</t>
    </rPh>
    <rPh sb="4" eb="6">
      <t>ナイヨウ</t>
    </rPh>
    <rPh sb="7" eb="9">
      <t>サイ</t>
    </rPh>
    <rPh sb="10" eb="11">
      <t>ナ</t>
    </rPh>
    <phoneticPr fontId="1"/>
  </si>
  <si>
    <t>改行位置等のレイアウトやページ数等を確認する</t>
    <rPh sb="0" eb="2">
      <t>カイギョウ</t>
    </rPh>
    <rPh sb="2" eb="4">
      <t>イチ</t>
    </rPh>
    <rPh sb="4" eb="5">
      <t>ナド</t>
    </rPh>
    <rPh sb="15" eb="16">
      <t>スウ</t>
    </rPh>
    <rPh sb="16" eb="17">
      <t>ナド</t>
    </rPh>
    <rPh sb="18" eb="20">
      <t>カクニン</t>
    </rPh>
    <phoneticPr fontId="1"/>
  </si>
  <si>
    <t>表示倍率および表示切替内の設定初期値</t>
    <rPh sb="0" eb="4">
      <t>ヒョウジバイリツ</t>
    </rPh>
    <rPh sb="7" eb="9">
      <t>ヒョウジ</t>
    </rPh>
    <rPh sb="9" eb="11">
      <t>キリカエ</t>
    </rPh>
    <rPh sb="11" eb="12">
      <t>ナイ</t>
    </rPh>
    <rPh sb="13" eb="15">
      <t>セッテイ</t>
    </rPh>
    <rPh sb="15" eb="18">
      <t>ショキチ</t>
    </rPh>
    <phoneticPr fontId="1"/>
  </si>
  <si>
    <t>正しい内容が設定されていること（com_moc_prtini）</t>
    <rPh sb="0" eb="1">
      <t>タダ</t>
    </rPh>
    <rPh sb="3" eb="5">
      <t>ナイヨウ</t>
    </rPh>
    <rPh sb="6" eb="8">
      <t>セッテイ</t>
    </rPh>
    <phoneticPr fontId="1"/>
  </si>
  <si>
    <t>全体表示倍率の変更内容保持</t>
    <rPh sb="0" eb="2">
      <t>ゼンタイ</t>
    </rPh>
    <rPh sb="2" eb="4">
      <t>ヒョウジ</t>
    </rPh>
    <rPh sb="4" eb="6">
      <t>バイリツ</t>
    </rPh>
    <rPh sb="7" eb="9">
      <t>ヘンコウ</t>
    </rPh>
    <rPh sb="9" eb="11">
      <t>ナイヨウ</t>
    </rPh>
    <rPh sb="11" eb="13">
      <t>ホジ</t>
    </rPh>
    <phoneticPr fontId="1"/>
  </si>
  <si>
    <t>倍率変更が保持されていることを確認する</t>
    <rPh sb="0" eb="2">
      <t>バイリツ</t>
    </rPh>
    <rPh sb="2" eb="4">
      <t>ヘンコウ</t>
    </rPh>
    <rPh sb="5" eb="7">
      <t>ホジ</t>
    </rPh>
    <rPh sb="15" eb="17">
      <t>カクニン</t>
    </rPh>
    <phoneticPr fontId="1"/>
  </si>
  <si>
    <t>その他</t>
    <rPh sb="2" eb="3">
      <t>タ</t>
    </rPh>
    <phoneticPr fontId="1"/>
  </si>
  <si>
    <t>正しく動作すること</t>
    <rPh sb="0" eb="1">
      <t>タダ</t>
    </rPh>
    <rPh sb="3" eb="5">
      <t>ドウサ</t>
    </rPh>
    <phoneticPr fontId="1"/>
  </si>
  <si>
    <t>適用事業所変更</t>
    <rPh sb="0" eb="2">
      <t>テキヨウ</t>
    </rPh>
    <rPh sb="2" eb="5">
      <t>ジギョウショ</t>
    </rPh>
    <rPh sb="5" eb="7">
      <t>ヘンコウ</t>
    </rPh>
    <phoneticPr fontId="1"/>
  </si>
  <si>
    <t>事業種別に応じた正しい表示となるか</t>
    <rPh sb="0" eb="2">
      <t>ジギョウ</t>
    </rPh>
    <rPh sb="2" eb="4">
      <t>シュベツ</t>
    </rPh>
    <rPh sb="5" eb="6">
      <t>オウ</t>
    </rPh>
    <rPh sb="8" eb="9">
      <t>タダ</t>
    </rPh>
    <rPh sb="11" eb="13">
      <t>ヒョウジ</t>
    </rPh>
    <phoneticPr fontId="1"/>
  </si>
  <si>
    <t>他事業所が表示されるか</t>
    <rPh sb="0" eb="1">
      <t>ホカ</t>
    </rPh>
    <rPh sb="1" eb="4">
      <t>ジギョウショ</t>
    </rPh>
    <rPh sb="5" eb="7">
      <t>ヒョウジ</t>
    </rPh>
    <phoneticPr fontId="1"/>
  </si>
  <si>
    <t>他事業所が適切に表示されること</t>
    <rPh sb="0" eb="4">
      <t>タジギョウショ</t>
    </rPh>
    <rPh sb="5" eb="7">
      <t>テキセツ</t>
    </rPh>
    <rPh sb="8" eb="10">
      <t>ヒョウジ</t>
    </rPh>
    <phoneticPr fontId="1"/>
  </si>
  <si>
    <t>パス入力箇所</t>
    <rPh sb="2" eb="4">
      <t>ニュウリョク</t>
    </rPh>
    <rPh sb="4" eb="6">
      <t>カショ</t>
    </rPh>
    <phoneticPr fontId="1"/>
  </si>
  <si>
    <t>ネットワークパスが登録できること</t>
    <rPh sb="9" eb="11">
      <t>トウロク</t>
    </rPh>
    <phoneticPr fontId="1"/>
  </si>
  <si>
    <t>高久 聖生</t>
    <rPh sb="0" eb="2">
      <t>タカク</t>
    </rPh>
    <rPh sb="3" eb="5">
      <t>マサキ</t>
    </rPh>
    <phoneticPr fontId="1"/>
  </si>
  <si>
    <t>佐々木 健人</t>
    <rPh sb="0" eb="3">
      <t>ササキ</t>
    </rPh>
    <rPh sb="4" eb="6">
      <t>ケント</t>
    </rPh>
    <phoneticPr fontId="1"/>
  </si>
  <si>
    <t>杉山 雄太</t>
    <rPh sb="3" eb="5">
      <t>ユウタ</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</si>
</sst>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0_);[Red]\(0\)"/>
    <numFmt numFmtId="178" formatCode="yyyy/m/d\ h:mm:ss"/>
  </numFmts>
  <fonts count="72">
    <font>
      <sz val="11"/>
      <name val="ＭＳ Ｐゴシック"/>
      <family val="3"/>
      <charset val="128"/>
    </font>
    <font>
      <sz val="6"/>
      <name val="ＭＳ Ｐゴシック"/>
      <family val="3"/>
      <charset val="128"/>
    </font>
    <font>
      <sz val="9"/>
      <name val="ＭＳ Ｐゴシック"/>
      <family val="3"/>
      <charset val="128"/>
    </font>
    <font>
      <u/>
      <sz val="11"/>
      <color indexed="12"/>
      <name val="ＭＳ Ｐゴシック"/>
      <family val="3"/>
      <charset val="128"/>
    </font>
    <font>
      <sz val="9"/>
      <name val="ＭＳ ゴシック"/>
      <family val="3"/>
      <charset val="128"/>
    </font>
    <font>
      <sz val="11"/>
      <name val="ＭＳ ゴシック"/>
      <family val="3"/>
      <charset val="128"/>
    </font>
    <font>
      <sz val="9"/>
      <name val="ＭＳ Ｐ明朝"/>
      <family val="1"/>
      <charset val="128"/>
    </font>
    <font>
      <sz val="10"/>
      <name val="ＭＳ ゴシック"/>
      <family val="3"/>
      <charset val="128"/>
    </font>
    <font>
      <sz val="11"/>
      <name val="Arial Black"/>
      <family val="2"/>
    </font>
    <font>
      <sz val="11"/>
      <name val="ＭＳ 明朝"/>
      <family val="1"/>
      <charset val="128"/>
    </font>
    <font>
      <sz val="20"/>
      <name val="ＭＳ ゴシック"/>
      <family val="3"/>
      <charset val="128"/>
    </font>
    <font>
      <sz val="8"/>
      <name val="ＭＳ ゴシック"/>
      <family val="3"/>
      <charset val="128"/>
    </font>
    <font>
      <b/>
      <sz val="11"/>
      <name val="Arial Black"/>
      <family val="2"/>
    </font>
    <font>
      <sz val="9"/>
      <color indexed="12"/>
      <name val="Arial Black"/>
      <family val="2"/>
    </font>
    <font>
      <sz val="11"/>
      <color indexed="12"/>
      <name val="Arial Black"/>
      <family val="2"/>
    </font>
    <font>
      <sz val="11"/>
      <name val="ＭＳ Ｐ明朝"/>
      <family val="1"/>
      <charset val="128"/>
    </font>
    <font>
      <sz val="11"/>
      <color indexed="12"/>
      <name val="ＭＳ Ｐ明朝"/>
      <family val="1"/>
      <charset val="128"/>
    </font>
    <font>
      <b/>
      <sz val="14"/>
      <name val="ＭＳ Ｐゴシック"/>
      <family val="3"/>
      <charset val="128"/>
    </font>
    <font>
      <sz val="11"/>
      <name val="ＭＳ Ｐゴシック"/>
      <family val="3"/>
      <charset val="128"/>
    </font>
    <font>
      <sz val="9"/>
      <color indexed="12"/>
      <name val="ＭＳ Ｐ明朝"/>
      <family val="1"/>
      <charset val="128"/>
    </font>
    <font>
      <b/>
      <sz val="11"/>
      <name val="ＭＳ Ｐゴシック"/>
      <family val="3"/>
      <charset val="128"/>
    </font>
    <font>
      <b/>
      <sz val="20"/>
      <name val="ＭＳ Ｐゴシック"/>
      <family val="3"/>
      <charset val="128"/>
    </font>
    <font>
      <sz val="11"/>
      <color indexed="8"/>
      <name val="ＭＳ ゴシック"/>
      <family val="3"/>
      <charset val="128"/>
    </font>
    <font>
      <sz val="11"/>
      <color indexed="12"/>
      <name val="ＭＳ Ｐゴシック"/>
      <family val="3"/>
      <charset val="128"/>
    </font>
    <font>
      <b/>
      <sz val="12"/>
      <color indexed="12"/>
      <name val="ＭＳ ゴシック"/>
      <family val="3"/>
      <charset val="128"/>
    </font>
    <font>
      <u/>
      <sz val="24"/>
      <name val="ＭＳ Ｐゴシック"/>
      <family val="3"/>
      <charset val="128"/>
    </font>
    <font>
      <sz val="11"/>
      <color indexed="10"/>
      <name val="ＭＳ Ｐゴシック"/>
      <family val="3"/>
      <charset val="128"/>
    </font>
    <font>
      <b/>
      <sz val="11"/>
      <color indexed="10"/>
      <name val="ＭＳ 明朝"/>
      <family val="1"/>
      <charset val="128"/>
    </font>
    <font>
      <b/>
      <u/>
      <sz val="24"/>
      <color indexed="10"/>
      <name val="ＭＳ 明朝"/>
      <family val="1"/>
      <charset val="128"/>
    </font>
    <font>
      <b/>
      <sz val="24"/>
      <name val="ＭＳ ゴシック"/>
      <family val="3"/>
      <charset val="128"/>
    </font>
    <font>
      <b/>
      <sz val="9"/>
      <name val="ＭＳ Ｐゴシック"/>
      <family val="3"/>
      <charset val="128"/>
    </font>
    <font>
      <b/>
      <sz val="10"/>
      <color indexed="8"/>
      <name val="ＭＳ Ｐゴシック"/>
      <family val="3"/>
      <charset val="128"/>
    </font>
    <font>
      <i/>
      <sz val="10"/>
      <name val="ＭＳ Ｐゴシック"/>
      <family val="3"/>
      <charset val="128"/>
    </font>
    <font>
      <i/>
      <sz val="11"/>
      <name val="ＭＳ Ｐゴシック"/>
      <family val="3"/>
      <charset val="128"/>
    </font>
    <font>
      <sz val="16"/>
      <name val="Arial Black"/>
      <family val="2"/>
    </font>
    <font>
      <b/>
      <sz val="9"/>
      <color indexed="12"/>
      <name val="ＭＳ Ｐゴシック"/>
      <family val="3"/>
      <charset val="128"/>
    </font>
    <font>
      <sz val="10"/>
      <color indexed="12"/>
      <name val="ＭＳ ゴシック"/>
      <family val="3"/>
      <charset val="128"/>
    </font>
    <font>
      <b/>
      <sz val="14"/>
      <color indexed="10"/>
      <name val="ＭＳ ゴシック"/>
      <family val="3"/>
      <charset val="128"/>
    </font>
    <font>
      <b/>
      <sz val="14"/>
      <color indexed="10"/>
      <name val="ＭＳ Ｐゴシック"/>
      <family val="3"/>
      <charset val="128"/>
    </font>
    <font>
      <sz val="14"/>
      <name val="ＭＳ Ｐゴシック"/>
      <family val="3"/>
      <charset val="128"/>
    </font>
    <font>
      <sz val="11"/>
      <color indexed="10"/>
      <name val="ＭＳ ゴシック"/>
      <family val="3"/>
      <charset val="128"/>
    </font>
    <font>
      <sz val="12"/>
      <name val="ＭＳ Ｐゴシック"/>
      <family val="3"/>
      <charset val="128"/>
    </font>
    <font>
      <b/>
      <sz val="12"/>
      <color indexed="12"/>
      <name val="ＭＳ Ｐゴシック"/>
      <family val="3"/>
      <charset val="128"/>
    </font>
    <font>
      <i/>
      <sz val="9"/>
      <name val="ＭＳ ゴシック"/>
      <family val="3"/>
      <charset val="128"/>
    </font>
    <font>
      <b/>
      <sz val="9"/>
      <color indexed="10"/>
      <name val="ＭＳ Ｐゴシック"/>
      <family val="3"/>
      <charset val="128"/>
    </font>
    <font>
      <sz val="11"/>
      <color indexed="22"/>
      <name val="ＭＳ ゴシック"/>
      <family val="3"/>
      <charset val="128"/>
    </font>
    <font>
      <sz val="11"/>
      <color indexed="22"/>
      <name val="ＭＳ 明朝"/>
      <family val="1"/>
      <charset val="128"/>
    </font>
    <font>
      <b/>
      <sz val="10"/>
      <color indexed="12"/>
      <name val="ＭＳ Ｐゴシック"/>
      <family val="3"/>
      <charset val="128"/>
    </font>
    <font>
      <b/>
      <sz val="10"/>
      <color indexed="10"/>
      <name val="ＭＳ Ｐゴシック"/>
      <family val="3"/>
      <charset val="128"/>
    </font>
    <font>
      <sz val="11"/>
      <color indexed="12"/>
      <name val="ＭＳ ゴシック"/>
      <family val="3"/>
      <charset val="128"/>
    </font>
    <font>
      <sz val="10"/>
      <color indexed="10"/>
      <name val="Arial Black"/>
      <family val="2"/>
    </font>
    <font>
      <sz val="10"/>
      <color indexed="10"/>
      <name val="ＭＳ Ｐゴシック"/>
      <family val="3"/>
      <charset val="128"/>
    </font>
    <font>
      <b/>
      <sz val="16"/>
      <color indexed="12"/>
      <name val="ＭＳ Ｐゴシック"/>
      <family val="3"/>
      <charset val="128"/>
    </font>
    <font>
      <b/>
      <sz val="12"/>
      <name val="ＭＳ ゴシック"/>
      <family val="3"/>
      <charset val="128"/>
    </font>
    <font>
      <sz val="9"/>
      <color indexed="12"/>
      <name val="ＭＳ 明朝"/>
      <family val="1"/>
      <charset val="128"/>
    </font>
    <font>
      <sz val="9"/>
      <color indexed="10"/>
      <name val="ＭＳ 明朝"/>
      <family val="1"/>
      <charset val="128"/>
    </font>
    <font>
      <sz val="9"/>
      <color indexed="17"/>
      <name val="ＭＳ 明朝"/>
      <family val="1"/>
      <charset val="128"/>
    </font>
    <font>
      <sz val="9"/>
      <name val="ＭＳ 明朝"/>
      <family val="1"/>
      <charset val="128"/>
    </font>
    <font>
      <sz val="9"/>
      <color indexed="8"/>
      <name val="ＭＳ 明朝"/>
      <family val="1"/>
      <charset val="128"/>
    </font>
    <font>
      <sz val="9"/>
      <name val="Meiryo UI"/>
      <family val="3"/>
      <charset val="128"/>
    </font>
    <font>
      <sz val="9"/>
      <color indexed="12"/>
      <name val="Meiryo UI"/>
      <family val="3"/>
      <charset val="128"/>
    </font>
    <font>
      <b/>
      <u/>
      <sz val="9"/>
      <color indexed="81"/>
      <name val="MS P ゴシック"/>
      <family val="3"/>
      <charset val="128"/>
    </font>
    <font>
      <sz val="9"/>
      <color indexed="81"/>
      <name val="MS P ゴシック"/>
      <family val="3"/>
      <charset val="128"/>
    </font>
    <font>
      <sz val="11"/>
      <color theme="0"/>
      <name val="ＭＳ Ｐゴシック"/>
      <family val="3"/>
      <charset val="128"/>
    </font>
    <font>
      <sz val="8"/>
      <color theme="0"/>
      <name val="ＭＳ Ｐゴシック"/>
      <family val="3"/>
      <charset val="128"/>
    </font>
    <font>
      <sz val="9"/>
      <color rgb="FF0000FF"/>
      <name val="ＭＳ 明朝"/>
      <family val="1"/>
      <charset val="128"/>
    </font>
    <font>
      <sz val="8"/>
      <color theme="0" tint="-0.249977111117893"/>
      <name val="ＭＳ Ｐゴシック"/>
      <family val="3"/>
      <charset val="128"/>
    </font>
    <font>
      <sz val="9"/>
      <color theme="0" tint="-0.249977111117893"/>
      <name val="ＭＳ Ｐゴシック"/>
      <family val="3"/>
      <charset val="128"/>
    </font>
    <font>
      <sz val="9"/>
      <color theme="0" tint="-0.249977111117893"/>
      <name val="Tahoma"/>
      <family val="2"/>
    </font>
    <font>
      <sz val="11"/>
      <color theme="1"/>
      <name val="ＭＳ Ｐゴシック"/>
      <family val="3"/>
      <charset val="128"/>
      <scheme val="minor"/>
    </font>
    <font>
      <b/>
      <sz val="14"/>
      <color theme="1"/>
      <name val="ＭＳ Ｐゴシック"/>
      <family val="3"/>
      <charset val="128"/>
      <scheme val="minor"/>
    </font>
    <font>
      <sz val="11"/>
      <name val="ＭＳ Ｐゴシック"/>
      <family val="3"/>
      <charset val="128"/>
      <scheme val="minor"/>
    </font>
  </fonts>
  <fills count="13">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27"/>
        <bgColor indexed="64"/>
      </patternFill>
    </fill>
    <fill>
      <patternFill patternType="solid">
        <fgColor indexed="26"/>
        <bgColor indexed="64"/>
      </patternFill>
    </fill>
    <fill>
      <patternFill patternType="solid">
        <fgColor indexed="9"/>
        <bgColor indexed="64"/>
      </patternFill>
    </fill>
    <fill>
      <patternFill patternType="solid">
        <fgColor indexed="13"/>
        <bgColor indexed="64"/>
      </patternFill>
    </fill>
    <fill>
      <patternFill patternType="solid">
        <fgColor indexed="47"/>
        <bgColor indexed="64"/>
      </patternFill>
    </fill>
    <fill>
      <patternFill patternType="solid">
        <fgColor theme="3" tint="0.79998168889431442"/>
        <bgColor indexed="64"/>
      </patternFill>
    </fill>
    <fill>
      <patternFill patternType="solid">
        <fgColor theme="8" tint="0.59999389629810485"/>
        <bgColor indexed="64"/>
      </patternFill>
    </fill>
  </fills>
  <borders count="72">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thin">
        <color indexed="64"/>
      </top>
      <bottom/>
      <diagonal/>
    </border>
    <border>
      <left/>
      <right style="hair">
        <color indexed="64"/>
      </right>
      <top/>
      <bottom/>
      <diagonal/>
    </border>
    <border>
      <left/>
      <right style="hair">
        <color indexed="64"/>
      </right>
      <top style="thin">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thin">
        <color indexed="64"/>
      </right>
      <top style="hair">
        <color indexed="64"/>
      </top>
      <bottom/>
      <diagonal/>
    </border>
    <border>
      <left/>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style="hair">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6795556505021"/>
      </right>
      <top style="thin">
        <color theme="0" tint="-0.14996795556505021"/>
      </top>
      <bottom style="thin">
        <color theme="0" tint="-0.14996795556505021"/>
      </bottom>
      <diagonal/>
    </border>
    <border>
      <left/>
      <right style="thin">
        <color indexed="64"/>
      </right>
      <top style="hair">
        <color indexed="64"/>
      </top>
      <bottom/>
      <diagonal/>
    </border>
    <border>
      <left/>
      <right style="thin">
        <color indexed="64"/>
      </right>
      <top/>
      <bottom/>
      <diagonal/>
    </border>
    <border>
      <left/>
      <right/>
      <top style="hair">
        <color indexed="64"/>
      </top>
      <bottom style="hair">
        <color indexed="64"/>
      </bottom>
      <diagonal/>
    </border>
    <border>
      <left style="thin">
        <color indexed="64"/>
      </left>
      <right style="thin">
        <color indexed="64"/>
      </right>
      <top style="hair">
        <color indexed="64"/>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style="thin">
        <color theme="0" tint="-0.14996795556505021"/>
      </left>
      <right style="thin">
        <color theme="0" tint="-0.14993743705557422"/>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5">
    <xf numFmtId="0" fontId="0" fillId="0" borderId="0"/>
    <xf numFmtId="0" fontId="3" fillId="0" borderId="0" applyNumberFormat="0" applyFill="0" applyBorder="0" applyAlignment="0" applyProtection="0">
      <alignment vertical="top"/>
      <protection locked="0"/>
    </xf>
    <xf numFmtId="0" fontId="18" fillId="0" borderId="0"/>
    <xf numFmtId="0" fontId="18" fillId="0" borderId="0">
      <alignment vertical="center"/>
    </xf>
    <xf numFmtId="0" fontId="69" fillId="0" borderId="0">
      <alignment vertical="center"/>
    </xf>
  </cellStyleXfs>
  <cellXfs count="294">
    <xf numFmtId="0" fontId="0" fillId="0" borderId="0" xfId="0"/>
    <xf numFmtId="0" fontId="9" fillId="0" borderId="0" xfId="0" applyFont="1" applyAlignment="1">
      <alignment vertical="center"/>
    </xf>
    <xf numFmtId="176" fontId="5" fillId="0" borderId="0" xfId="0" applyNumberFormat="1" applyFont="1" applyAlignment="1">
      <alignment horizontal="center" vertical="center"/>
    </xf>
    <xf numFmtId="0" fontId="5" fillId="0" borderId="0" xfId="0" applyFont="1" applyAlignment="1">
      <alignment vertical="center"/>
    </xf>
    <xf numFmtId="0" fontId="5" fillId="0" borderId="1" xfId="0" applyFont="1" applyBorder="1" applyAlignment="1">
      <alignment vertical="center"/>
    </xf>
    <xf numFmtId="0" fontId="5" fillId="0" borderId="2" xfId="0" applyFont="1" applyBorder="1" applyAlignment="1">
      <alignment vertical="center"/>
    </xf>
    <xf numFmtId="0" fontId="9" fillId="0" borderId="2" xfId="0" applyFont="1" applyBorder="1" applyAlignment="1">
      <alignment vertical="center"/>
    </xf>
    <xf numFmtId="0" fontId="5" fillId="0" borderId="3" xfId="0" applyFont="1" applyBorder="1" applyAlignment="1">
      <alignment vertical="center"/>
    </xf>
    <xf numFmtId="0" fontId="5" fillId="0" borderId="4" xfId="0" applyFont="1" applyBorder="1" applyAlignment="1">
      <alignment vertical="center"/>
    </xf>
    <xf numFmtId="0" fontId="9" fillId="0" borderId="4" xfId="0" applyFont="1" applyBorder="1" applyAlignment="1">
      <alignment vertical="center"/>
    </xf>
    <xf numFmtId="0" fontId="5" fillId="0" borderId="5" xfId="0" applyFont="1" applyBorder="1" applyAlignment="1">
      <alignment vertical="center"/>
    </xf>
    <xf numFmtId="0" fontId="9" fillId="0" borderId="5" xfId="0" applyFont="1" applyBorder="1" applyAlignment="1">
      <alignment vertical="center"/>
    </xf>
    <xf numFmtId="0" fontId="5" fillId="2" borderId="6" xfId="0" applyFont="1" applyFill="1" applyBorder="1" applyAlignment="1">
      <alignment vertical="center"/>
    </xf>
    <xf numFmtId="0" fontId="8" fillId="3" borderId="7" xfId="0" applyFont="1" applyFill="1" applyBorder="1" applyAlignment="1">
      <alignment horizontal="center" vertical="center"/>
    </xf>
    <xf numFmtId="0" fontId="8" fillId="3" borderId="8" xfId="0" applyFont="1" applyFill="1" applyBorder="1" applyAlignment="1">
      <alignment horizontal="center" vertical="center"/>
    </xf>
    <xf numFmtId="0" fontId="12" fillId="0" borderId="0" xfId="0" applyFont="1" applyAlignment="1">
      <alignment vertical="center"/>
    </xf>
    <xf numFmtId="0" fontId="8" fillId="3" borderId="9" xfId="0" applyFont="1" applyFill="1" applyBorder="1" applyAlignment="1">
      <alignment horizontal="center" vertical="center"/>
    </xf>
    <xf numFmtId="0" fontId="8" fillId="3" borderId="8" xfId="0" applyFont="1" applyFill="1" applyBorder="1" applyAlignment="1">
      <alignment vertical="center"/>
    </xf>
    <xf numFmtId="0" fontId="8" fillId="0" borderId="0" xfId="0" applyFont="1" applyAlignme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3" borderId="10" xfId="0" applyFont="1" applyFill="1" applyBorder="1" applyAlignment="1">
      <alignment horizontal="center" vertical="center"/>
    </xf>
    <xf numFmtId="0" fontId="8" fillId="3" borderId="2" xfId="0" applyFont="1" applyFill="1" applyBorder="1" applyAlignment="1">
      <alignment horizontal="center" vertical="center"/>
    </xf>
    <xf numFmtId="0" fontId="14" fillId="0" borderId="0" xfId="0" applyFont="1" applyAlignment="1">
      <alignment horizontal="center" vertical="center"/>
    </xf>
    <xf numFmtId="0" fontId="8" fillId="3" borderId="8" xfId="0" applyFont="1" applyFill="1" applyBorder="1" applyAlignment="1">
      <alignment horizontal="center" vertical="center" wrapText="1"/>
    </xf>
    <xf numFmtId="0" fontId="8" fillId="0" borderId="1" xfId="0" applyFont="1" applyBorder="1" applyAlignment="1">
      <alignment horizontal="center" vertical="center"/>
    </xf>
    <xf numFmtId="176" fontId="8" fillId="0" borderId="2" xfId="0" applyNumberFormat="1" applyFont="1" applyBorder="1" applyAlignment="1">
      <alignment horizontal="center" vertical="center" wrapText="1"/>
    </xf>
    <xf numFmtId="14" fontId="8" fillId="0" borderId="11" xfId="0" applyNumberFormat="1"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wrapText="1"/>
    </xf>
    <xf numFmtId="14" fontId="8" fillId="0" borderId="4" xfId="0" applyNumberFormat="1" applyFont="1" applyBorder="1" applyAlignment="1">
      <alignment horizontal="center" vertical="center"/>
    </xf>
    <xf numFmtId="0" fontId="15" fillId="0" borderId="0" xfId="0" applyFont="1" applyAlignment="1">
      <alignment vertical="center"/>
    </xf>
    <xf numFmtId="0" fontId="15" fillId="0" borderId="0" xfId="0" applyFont="1" applyAlignment="1">
      <alignment horizontal="left" vertical="center"/>
    </xf>
    <xf numFmtId="0" fontId="16" fillId="0" borderId="0" xfId="0" applyFont="1" applyAlignment="1">
      <alignment horizontal="center" vertical="center"/>
    </xf>
    <xf numFmtId="0" fontId="8" fillId="0" borderId="13" xfId="0" applyFont="1" applyBorder="1" applyAlignment="1">
      <alignment vertical="center"/>
    </xf>
    <xf numFmtId="0" fontId="6" fillId="0" borderId="0" xfId="0" applyFont="1" applyAlignment="1">
      <alignment vertical="center"/>
    </xf>
    <xf numFmtId="0" fontId="6" fillId="0" borderId="0" xfId="0" applyFont="1" applyAlignment="1">
      <alignment horizontal="left" vertical="center"/>
    </xf>
    <xf numFmtId="0" fontId="6" fillId="0" borderId="0" xfId="0" applyFont="1" applyAlignment="1">
      <alignment horizontal="center" vertical="center"/>
    </xf>
    <xf numFmtId="0" fontId="19" fillId="0" borderId="0" xfId="0" applyFont="1" applyAlignment="1">
      <alignment horizontal="left" vertical="center"/>
    </xf>
    <xf numFmtId="0" fontId="13" fillId="0" borderId="0" xfId="0" applyFont="1" applyAlignment="1">
      <alignment horizontal="left" vertical="center"/>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14" fontId="5" fillId="3" borderId="15" xfId="0" applyNumberFormat="1" applyFont="1" applyFill="1" applyBorder="1" applyAlignment="1">
      <alignment horizontal="center" vertical="center" wrapText="1" shrinkToFit="1"/>
    </xf>
    <xf numFmtId="49" fontId="9" fillId="0" borderId="2" xfId="0" applyNumberFormat="1" applyFont="1" applyBorder="1" applyAlignment="1">
      <alignment horizontal="left" vertical="center" wrapText="1"/>
    </xf>
    <xf numFmtId="49" fontId="9" fillId="0" borderId="4" xfId="0" applyNumberFormat="1" applyFont="1" applyBorder="1" applyAlignment="1">
      <alignment horizontal="left" vertical="center" wrapText="1"/>
    </xf>
    <xf numFmtId="49" fontId="9" fillId="0" borderId="17" xfId="0" applyNumberFormat="1" applyFont="1" applyBorder="1" applyAlignment="1">
      <alignment horizontal="left" vertical="center" wrapText="1"/>
    </xf>
    <xf numFmtId="49" fontId="9" fillId="0" borderId="3" xfId="0" applyNumberFormat="1" applyFont="1" applyBorder="1" applyAlignment="1">
      <alignment horizontal="left" vertical="center" wrapText="1"/>
    </xf>
    <xf numFmtId="177" fontId="8" fillId="0" borderId="2" xfId="0" applyNumberFormat="1" applyFont="1" applyBorder="1" applyAlignment="1">
      <alignment horizontal="center" vertical="center" wrapText="1"/>
    </xf>
    <xf numFmtId="49" fontId="9" fillId="0" borderId="19" xfId="0" applyNumberFormat="1" applyFont="1" applyBorder="1" applyAlignment="1">
      <alignment horizontal="left" vertical="center" wrapText="1"/>
    </xf>
    <xf numFmtId="49" fontId="9" fillId="0" borderId="20" xfId="0" applyNumberFormat="1" applyFont="1" applyBorder="1" applyAlignment="1">
      <alignment horizontal="left" vertical="center" wrapText="1"/>
    </xf>
    <xf numFmtId="0" fontId="5" fillId="3" borderId="2" xfId="0" applyFont="1" applyFill="1" applyBorder="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58" fontId="10" fillId="0" borderId="0" xfId="0" applyNumberFormat="1" applyFont="1" applyAlignment="1">
      <alignment horizontal="center" vertical="center"/>
    </xf>
    <xf numFmtId="0" fontId="9" fillId="0" borderId="0" xfId="0" applyFont="1" applyAlignment="1">
      <alignment horizontal="right" vertical="center"/>
    </xf>
    <xf numFmtId="58" fontId="7" fillId="0" borderId="0" xfId="0" applyNumberFormat="1" applyFont="1" applyAlignment="1">
      <alignment horizontal="right" vertical="center"/>
    </xf>
    <xf numFmtId="22" fontId="5" fillId="3" borderId="15" xfId="0" applyNumberFormat="1" applyFont="1" applyFill="1" applyBorder="1" applyAlignment="1">
      <alignment horizontal="center" vertical="center"/>
    </xf>
    <xf numFmtId="22" fontId="8" fillId="0" borderId="2" xfId="0" applyNumberFormat="1" applyFont="1" applyBorder="1" applyAlignment="1">
      <alignment horizontal="center" vertical="center"/>
    </xf>
    <xf numFmtId="22" fontId="8" fillId="0" borderId="4" xfId="0" applyNumberFormat="1" applyFont="1" applyBorder="1" applyAlignment="1">
      <alignment horizontal="center" vertical="center"/>
    </xf>
    <xf numFmtId="22" fontId="8" fillId="0" borderId="0" xfId="0" applyNumberFormat="1" applyFont="1" applyAlignment="1">
      <alignment vertical="center"/>
    </xf>
    <xf numFmtId="0" fontId="5" fillId="4" borderId="2" xfId="0" applyFont="1" applyFill="1" applyBorder="1" applyAlignment="1">
      <alignment horizontal="center" vertical="center" shrinkToFit="1"/>
    </xf>
    <xf numFmtId="176" fontId="11" fillId="5" borderId="21" xfId="0" applyNumberFormat="1" applyFont="1" applyFill="1" applyBorder="1" applyAlignment="1">
      <alignment horizontal="center" vertical="center"/>
    </xf>
    <xf numFmtId="0" fontId="5" fillId="0" borderId="22" xfId="0" applyFont="1" applyBorder="1" applyAlignment="1">
      <alignment vertical="center"/>
    </xf>
    <xf numFmtId="0" fontId="5" fillId="0" borderId="23" xfId="0" applyFont="1" applyBorder="1" applyAlignment="1">
      <alignment vertical="center"/>
    </xf>
    <xf numFmtId="0" fontId="5" fillId="0" borderId="24" xfId="0" applyFont="1" applyBorder="1" applyAlignment="1">
      <alignment vertical="center"/>
    </xf>
    <xf numFmtId="0" fontId="5" fillId="2" borderId="21" xfId="0" applyFont="1" applyFill="1" applyBorder="1" applyAlignment="1">
      <alignment vertical="center"/>
    </xf>
    <xf numFmtId="0" fontId="5" fillId="0" borderId="12" xfId="0" applyFont="1" applyBorder="1" applyAlignment="1">
      <alignment vertical="center"/>
    </xf>
    <xf numFmtId="0" fontId="5" fillId="0" borderId="13" xfId="0" applyFont="1" applyBorder="1" applyAlignment="1">
      <alignment vertical="center"/>
    </xf>
    <xf numFmtId="0" fontId="5" fillId="0" borderId="0" xfId="0" applyFont="1" applyAlignment="1">
      <alignment horizontal="right" vertical="center"/>
    </xf>
    <xf numFmtId="0" fontId="25" fillId="0" borderId="0" xfId="0" applyFont="1" applyAlignment="1">
      <alignment horizontal="center" vertical="center"/>
    </xf>
    <xf numFmtId="0" fontId="27" fillId="0" borderId="0" xfId="0" applyFont="1" applyAlignment="1">
      <alignment vertical="center"/>
    </xf>
    <xf numFmtId="0" fontId="28" fillId="0" borderId="0" xfId="0" applyFont="1" applyAlignment="1">
      <alignment horizontal="center" vertical="center"/>
    </xf>
    <xf numFmtId="0" fontId="28" fillId="0" borderId="28" xfId="0" applyFont="1" applyBorder="1" applyAlignment="1">
      <alignment horizontal="center" vertical="center"/>
    </xf>
    <xf numFmtId="0" fontId="29" fillId="0" borderId="0" xfId="0" applyFont="1" applyAlignment="1">
      <alignment horizontal="center" vertical="center"/>
    </xf>
    <xf numFmtId="176" fontId="11" fillId="6" borderId="29" xfId="0" applyNumberFormat="1" applyFont="1" applyFill="1" applyBorder="1" applyAlignment="1">
      <alignment horizontal="center" vertical="center"/>
    </xf>
    <xf numFmtId="176" fontId="5" fillId="4" borderId="6" xfId="0" applyNumberFormat="1" applyFont="1" applyFill="1" applyBorder="1" applyAlignment="1">
      <alignment horizontal="center" vertical="center"/>
    </xf>
    <xf numFmtId="14" fontId="2" fillId="0" borderId="0" xfId="0" applyNumberFormat="1" applyFont="1" applyAlignment="1">
      <alignment horizontal="right"/>
    </xf>
    <xf numFmtId="0" fontId="32" fillId="0" borderId="0" xfId="0" applyFont="1" applyAlignment="1">
      <alignment horizontal="right" vertical="center"/>
    </xf>
    <xf numFmtId="0" fontId="2" fillId="0" borderId="0" xfId="0" applyFont="1" applyAlignment="1">
      <alignment horizontal="right"/>
    </xf>
    <xf numFmtId="0" fontId="33" fillId="0" borderId="0" xfId="0" applyFont="1" applyAlignment="1">
      <alignment horizontal="right"/>
    </xf>
    <xf numFmtId="0" fontId="34" fillId="0" borderId="31" xfId="0" applyFont="1" applyBorder="1" applyAlignment="1">
      <alignment horizontal="center"/>
    </xf>
    <xf numFmtId="0" fontId="0" fillId="0" borderId="0" xfId="0" applyAlignment="1">
      <alignment shrinkToFit="1"/>
    </xf>
    <xf numFmtId="0" fontId="30" fillId="0" borderId="0" xfId="0" applyFont="1" applyAlignment="1">
      <alignment horizontal="right"/>
    </xf>
    <xf numFmtId="0" fontId="30" fillId="0" borderId="0" xfId="0" applyFont="1"/>
    <xf numFmtId="0" fontId="0" fillId="0" borderId="0" xfId="0" applyAlignment="1">
      <alignment horizontal="left" vertical="center"/>
    </xf>
    <xf numFmtId="0" fontId="5" fillId="3" borderId="34" xfId="0" applyFont="1" applyFill="1" applyBorder="1" applyAlignment="1">
      <alignment vertical="center"/>
    </xf>
    <xf numFmtId="0" fontId="36" fillId="3" borderId="35" xfId="0" applyFont="1" applyFill="1" applyBorder="1" applyAlignment="1">
      <alignment horizontal="right" vertical="center"/>
    </xf>
    <xf numFmtId="0" fontId="9" fillId="3" borderId="35" xfId="0" applyFont="1" applyFill="1" applyBorder="1" applyAlignment="1">
      <alignment vertical="center"/>
    </xf>
    <xf numFmtId="0" fontId="8" fillId="0" borderId="28" xfId="0" applyFont="1" applyBorder="1" applyAlignment="1">
      <alignment horizontal="center" vertical="center"/>
    </xf>
    <xf numFmtId="0" fontId="39" fillId="0" borderId="28" xfId="0" applyFont="1" applyBorder="1" applyAlignment="1">
      <alignment vertical="center"/>
    </xf>
    <xf numFmtId="0" fontId="40" fillId="0" borderId="0" xfId="0" applyFont="1" applyAlignment="1">
      <alignment vertical="center"/>
    </xf>
    <xf numFmtId="0" fontId="26" fillId="0" borderId="0" xfId="0" applyFont="1" applyAlignment="1">
      <alignment horizontal="left" vertical="center"/>
    </xf>
    <xf numFmtId="14" fontId="38" fillId="0" borderId="28" xfId="0" applyNumberFormat="1" applyFont="1" applyBorder="1" applyAlignment="1">
      <alignment vertical="center"/>
    </xf>
    <xf numFmtId="0" fontId="31" fillId="0" borderId="0" xfId="0" applyFont="1" applyAlignment="1">
      <alignment horizontal="left" vertical="center"/>
    </xf>
    <xf numFmtId="0" fontId="22" fillId="0" borderId="0" xfId="0" applyFont="1" applyAlignment="1">
      <alignment vertical="center"/>
    </xf>
    <xf numFmtId="22" fontId="22" fillId="0" borderId="0" xfId="0" applyNumberFormat="1" applyFont="1" applyAlignment="1">
      <alignment horizontal="left" vertical="center"/>
    </xf>
    <xf numFmtId="0" fontId="39" fillId="0" borderId="0" xfId="0" applyFont="1" applyAlignment="1">
      <alignment vertical="center"/>
    </xf>
    <xf numFmtId="0" fontId="8" fillId="0" borderId="28" xfId="0" applyFont="1" applyBorder="1" applyAlignment="1">
      <alignment vertical="center"/>
    </xf>
    <xf numFmtId="0" fontId="9" fillId="0" borderId="4" xfId="0" applyFont="1" applyBorder="1" applyAlignment="1">
      <alignment horizontal="center" vertical="center" wrapText="1"/>
    </xf>
    <xf numFmtId="0" fontId="9" fillId="0" borderId="2" xfId="0" applyFont="1" applyBorder="1" applyAlignment="1">
      <alignment horizontal="center" vertical="center" wrapText="1"/>
    </xf>
    <xf numFmtId="0" fontId="8" fillId="8" borderId="0" xfId="0" applyFont="1" applyFill="1" applyAlignment="1">
      <alignment horizontal="center" vertical="center"/>
    </xf>
    <xf numFmtId="0" fontId="5" fillId="7" borderId="13" xfId="0" applyFont="1" applyFill="1" applyBorder="1" applyAlignment="1">
      <alignment horizontal="center" vertical="center" wrapText="1"/>
    </xf>
    <xf numFmtId="0" fontId="26" fillId="7" borderId="13" xfId="0" applyFont="1" applyFill="1" applyBorder="1" applyAlignment="1">
      <alignment horizontal="right" vertical="center"/>
    </xf>
    <xf numFmtId="14" fontId="18" fillId="0" borderId="0" xfId="0" applyNumberFormat="1" applyFont="1" applyAlignment="1">
      <alignment horizontal="center" vertical="center"/>
    </xf>
    <xf numFmtId="0" fontId="43" fillId="0" borderId="0" xfId="0" applyFont="1"/>
    <xf numFmtId="0" fontId="0" fillId="4" borderId="13" xfId="0" applyFill="1" applyBorder="1" applyAlignment="1">
      <alignment horizontal="center" vertical="center"/>
    </xf>
    <xf numFmtId="176" fontId="45" fillId="0" borderId="0" xfId="0" applyNumberFormat="1" applyFont="1" applyAlignment="1">
      <alignment horizontal="center" vertical="center"/>
    </xf>
    <xf numFmtId="0" fontId="46" fillId="0" borderId="0" xfId="0" applyFont="1" applyAlignment="1">
      <alignment vertical="center"/>
    </xf>
    <xf numFmtId="0" fontId="46" fillId="0" borderId="31" xfId="0" applyFont="1" applyBorder="1" applyAlignment="1">
      <alignment vertical="center"/>
    </xf>
    <xf numFmtId="9" fontId="46" fillId="0" borderId="0" xfId="0" applyNumberFormat="1" applyFont="1" applyAlignment="1">
      <alignment vertical="center"/>
    </xf>
    <xf numFmtId="176" fontId="7" fillId="0" borderId="2" xfId="0" applyNumberFormat="1" applyFont="1" applyBorder="1" applyAlignment="1">
      <alignment horizontal="center" vertical="center"/>
    </xf>
    <xf numFmtId="176" fontId="7" fillId="0" borderId="4" xfId="0" applyNumberFormat="1" applyFont="1" applyBorder="1" applyAlignment="1">
      <alignment horizontal="center" vertical="center"/>
    </xf>
    <xf numFmtId="56" fontId="22" fillId="3" borderId="0" xfId="0" applyNumberFormat="1" applyFont="1" applyFill="1" applyAlignment="1">
      <alignment horizontal="center" vertical="center"/>
    </xf>
    <xf numFmtId="14" fontId="38" fillId="0" borderId="28" xfId="0" applyNumberFormat="1" applyFont="1" applyBorder="1" applyAlignment="1">
      <alignment horizontal="right" vertical="center"/>
    </xf>
    <xf numFmtId="0" fontId="0" fillId="3" borderId="7" xfId="0" applyFill="1" applyBorder="1" applyAlignment="1">
      <alignment horizontal="center" vertical="center" wrapText="1"/>
    </xf>
    <xf numFmtId="0" fontId="0" fillId="3" borderId="42" xfId="0" applyFill="1" applyBorder="1" applyAlignment="1">
      <alignment horizontal="center" vertical="center" wrapText="1"/>
    </xf>
    <xf numFmtId="0" fontId="21" fillId="9" borderId="43" xfId="0" applyFont="1" applyFill="1" applyBorder="1" applyAlignment="1">
      <alignment horizontal="center" vertical="center"/>
    </xf>
    <xf numFmtId="176" fontId="5" fillId="0" borderId="4" xfId="0" applyNumberFormat="1" applyFont="1" applyBorder="1" applyAlignment="1">
      <alignment vertical="center"/>
    </xf>
    <xf numFmtId="20" fontId="0" fillId="0" borderId="0" xfId="0" applyNumberFormat="1"/>
    <xf numFmtId="12" fontId="0" fillId="0" borderId="0" xfId="0" applyNumberFormat="1"/>
    <xf numFmtId="12" fontId="0" fillId="0" borderId="0" xfId="0" applyNumberFormat="1" applyAlignment="1">
      <alignment horizontal="right"/>
    </xf>
    <xf numFmtId="22" fontId="50" fillId="3" borderId="8" xfId="0" applyNumberFormat="1" applyFont="1" applyFill="1" applyBorder="1" applyAlignment="1">
      <alignment vertical="center" wrapText="1"/>
    </xf>
    <xf numFmtId="0" fontId="8" fillId="8" borderId="44" xfId="0" applyFont="1" applyFill="1" applyBorder="1" applyAlignment="1">
      <alignment horizontal="center" vertical="center"/>
    </xf>
    <xf numFmtId="0" fontId="8" fillId="8" borderId="45" xfId="0" applyFont="1" applyFill="1" applyBorder="1" applyAlignment="1">
      <alignment horizontal="center" vertical="center"/>
    </xf>
    <xf numFmtId="0" fontId="24" fillId="9" borderId="46" xfId="0" applyFont="1" applyFill="1" applyBorder="1" applyAlignment="1">
      <alignment horizontal="center" vertical="center" wrapText="1"/>
    </xf>
    <xf numFmtId="0" fontId="42" fillId="9" borderId="47" xfId="0" applyFont="1" applyFill="1" applyBorder="1" applyAlignment="1">
      <alignment horizontal="center" vertical="center"/>
    </xf>
    <xf numFmtId="0" fontId="8" fillId="0" borderId="0" xfId="0" applyFont="1" applyAlignment="1">
      <alignment horizontal="center" vertical="center" wrapText="1"/>
    </xf>
    <xf numFmtId="0" fontId="17" fillId="0" borderId="0" xfId="0" applyFont="1" applyAlignment="1">
      <alignment horizontal="right" vertical="center"/>
    </xf>
    <xf numFmtId="14" fontId="8" fillId="0" borderId="0" xfId="0" applyNumberFormat="1" applyFont="1" applyAlignment="1">
      <alignment vertical="center"/>
    </xf>
    <xf numFmtId="0" fontId="41" fillId="0" borderId="0" xfId="0" applyFont="1" applyAlignment="1">
      <alignment horizontal="left" vertical="center"/>
    </xf>
    <xf numFmtId="0" fontId="5" fillId="10" borderId="41" xfId="0" applyFont="1" applyFill="1" applyBorder="1" applyAlignment="1">
      <alignment vertical="center"/>
    </xf>
    <xf numFmtId="0" fontId="5" fillId="10" borderId="29" xfId="0" applyFont="1" applyFill="1" applyBorder="1" applyAlignment="1">
      <alignment vertical="center"/>
    </xf>
    <xf numFmtId="0" fontId="8" fillId="0" borderId="2" xfId="0" applyFont="1" applyBorder="1" applyAlignment="1">
      <alignment vertical="center"/>
    </xf>
    <xf numFmtId="0" fontId="8" fillId="0" borderId="30" xfId="0" applyFont="1" applyBorder="1" applyAlignment="1">
      <alignment vertical="center"/>
    </xf>
    <xf numFmtId="0" fontId="8" fillId="0" borderId="4" xfId="0" applyFont="1" applyBorder="1" applyAlignment="1">
      <alignment vertical="center"/>
    </xf>
    <xf numFmtId="0" fontId="8" fillId="0" borderId="17" xfId="0" applyFont="1" applyBorder="1" applyAlignment="1">
      <alignment vertical="center"/>
    </xf>
    <xf numFmtId="0" fontId="5" fillId="10" borderId="6" xfId="0" applyFont="1" applyFill="1" applyBorder="1" applyAlignment="1">
      <alignment vertical="center"/>
    </xf>
    <xf numFmtId="0" fontId="8" fillId="8" borderId="0" xfId="0" applyFont="1" applyFill="1" applyAlignment="1">
      <alignment vertical="center"/>
    </xf>
    <xf numFmtId="0" fontId="5" fillId="0" borderId="30" xfId="0" applyFont="1" applyBorder="1" applyAlignment="1">
      <alignment vertical="center"/>
    </xf>
    <xf numFmtId="0" fontId="5" fillId="0" borderId="17" xfId="0" applyFont="1" applyBorder="1" applyAlignment="1">
      <alignment vertical="center"/>
    </xf>
    <xf numFmtId="0" fontId="5" fillId="0" borderId="27" xfId="0" applyFont="1" applyBorder="1" applyAlignment="1">
      <alignment vertical="center"/>
    </xf>
    <xf numFmtId="0" fontId="5" fillId="3" borderId="48" xfId="0" applyFont="1" applyFill="1" applyBorder="1" applyAlignment="1">
      <alignment vertical="center"/>
    </xf>
    <xf numFmtId="14" fontId="8" fillId="8" borderId="0" xfId="0" applyNumberFormat="1" applyFont="1" applyFill="1" applyAlignment="1">
      <alignment vertical="center"/>
    </xf>
    <xf numFmtId="0" fontId="8" fillId="0" borderId="49" xfId="0" applyFont="1" applyBorder="1" applyAlignment="1">
      <alignment vertical="center"/>
    </xf>
    <xf numFmtId="0" fontId="0" fillId="8" borderId="0" xfId="0" applyFill="1" applyAlignment="1">
      <alignment horizontal="center" vertical="center"/>
    </xf>
    <xf numFmtId="0" fontId="8" fillId="8" borderId="0" xfId="0" applyFont="1" applyFill="1" applyAlignment="1">
      <alignment horizontal="center" vertical="center" shrinkToFit="1"/>
    </xf>
    <xf numFmtId="0" fontId="42" fillId="3" borderId="46" xfId="0" applyFont="1" applyFill="1" applyBorder="1" applyAlignment="1">
      <alignment horizontal="center" vertical="center" wrapText="1"/>
    </xf>
    <xf numFmtId="0" fontId="52" fillId="3" borderId="47" xfId="0" applyFont="1" applyFill="1" applyBorder="1" applyAlignment="1">
      <alignment horizontal="center" vertical="center" wrapText="1"/>
    </xf>
    <xf numFmtId="0" fontId="8" fillId="0" borderId="44" xfId="1" applyFont="1" applyBorder="1" applyAlignment="1" applyProtection="1">
      <alignment horizontal="center" vertical="center" wrapText="1"/>
    </xf>
    <xf numFmtId="0" fontId="8" fillId="0" borderId="45" xfId="0" applyFont="1" applyBorder="1" applyAlignment="1">
      <alignment horizontal="center" vertical="center" wrapText="1"/>
    </xf>
    <xf numFmtId="0" fontId="8" fillId="0" borderId="45" xfId="1" applyFont="1" applyBorder="1" applyAlignment="1" applyProtection="1">
      <alignment horizontal="center" vertical="center" wrapText="1"/>
    </xf>
    <xf numFmtId="0" fontId="15" fillId="0" borderId="2" xfId="0" applyFont="1" applyBorder="1" applyAlignment="1">
      <alignment vertical="center"/>
    </xf>
    <xf numFmtId="0" fontId="15" fillId="0" borderId="4" xfId="0" applyFont="1" applyBorder="1" applyAlignment="1">
      <alignment vertical="center"/>
    </xf>
    <xf numFmtId="0" fontId="41" fillId="5" borderId="13" xfId="0" applyFont="1" applyFill="1" applyBorder="1" applyAlignment="1">
      <alignment horizontal="center" vertical="center"/>
    </xf>
    <xf numFmtId="0" fontId="41" fillId="5" borderId="18" xfId="0" applyFont="1" applyFill="1" applyBorder="1" applyAlignment="1">
      <alignment horizontal="center" vertical="center"/>
    </xf>
    <xf numFmtId="0" fontId="57" fillId="0" borderId="0" xfId="0" applyFont="1" applyAlignment="1">
      <alignment horizontal="center"/>
    </xf>
    <xf numFmtId="0" fontId="55" fillId="0" borderId="25" xfId="0" applyFont="1" applyBorder="1" applyAlignment="1">
      <alignment vertical="center"/>
    </xf>
    <xf numFmtId="0" fontId="57" fillId="0" borderId="36" xfId="0" applyFont="1" applyBorder="1"/>
    <xf numFmtId="0" fontId="57" fillId="3" borderId="1" xfId="0" applyFont="1" applyFill="1" applyBorder="1"/>
    <xf numFmtId="0" fontId="57" fillId="2" borderId="2" xfId="0" applyFont="1" applyFill="1" applyBorder="1"/>
    <xf numFmtId="0" fontId="57" fillId="4" borderId="30" xfId="0" applyFont="1" applyFill="1" applyBorder="1"/>
    <xf numFmtId="0" fontId="57" fillId="0" borderId="0" xfId="0" applyFont="1"/>
    <xf numFmtId="20" fontId="57" fillId="0" borderId="31" xfId="0" applyNumberFormat="1" applyFont="1" applyBorder="1" applyAlignment="1">
      <alignment horizontal="center"/>
    </xf>
    <xf numFmtId="177" fontId="57" fillId="0" borderId="31" xfId="0" applyNumberFormat="1" applyFont="1" applyBorder="1" applyAlignment="1">
      <alignment horizontal="center"/>
    </xf>
    <xf numFmtId="10" fontId="57" fillId="0" borderId="31" xfId="0" applyNumberFormat="1" applyFont="1" applyBorder="1" applyAlignment="1">
      <alignment horizontal="center"/>
    </xf>
    <xf numFmtId="0" fontId="57" fillId="3" borderId="3" xfId="0" applyFont="1" applyFill="1" applyBorder="1"/>
    <xf numFmtId="0" fontId="57" fillId="2" borderId="4" xfId="0" applyFont="1" applyFill="1" applyBorder="1"/>
    <xf numFmtId="0" fontId="57" fillId="4" borderId="17" xfId="0" applyFont="1" applyFill="1" applyBorder="1"/>
    <xf numFmtId="12" fontId="57" fillId="0" borderId="31" xfId="0" applyNumberFormat="1" applyFont="1" applyBorder="1" applyAlignment="1">
      <alignment horizontal="center"/>
    </xf>
    <xf numFmtId="0" fontId="57" fillId="0" borderId="37" xfId="0" applyFont="1" applyBorder="1"/>
    <xf numFmtId="0" fontId="54" fillId="2" borderId="4" xfId="0" applyFont="1" applyFill="1" applyBorder="1"/>
    <xf numFmtId="0" fontId="57" fillId="0" borderId="0" xfId="0" applyFont="1" applyAlignment="1">
      <alignment vertical="top"/>
    </xf>
    <xf numFmtId="20" fontId="9" fillId="0" borderId="0" xfId="0" applyNumberFormat="1" applyFont="1" applyAlignment="1">
      <alignment horizontal="center"/>
    </xf>
    <xf numFmtId="12" fontId="9" fillId="0" borderId="0" xfId="0" applyNumberFormat="1" applyFont="1" applyAlignment="1">
      <alignment horizontal="center"/>
    </xf>
    <xf numFmtId="0" fontId="57" fillId="3" borderId="12" xfId="0" applyFont="1" applyFill="1" applyBorder="1"/>
    <xf numFmtId="0" fontId="57" fillId="2" borderId="13" xfId="0" applyFont="1" applyFill="1" applyBorder="1"/>
    <xf numFmtId="0" fontId="57" fillId="4" borderId="18" xfId="0" applyFont="1" applyFill="1" applyBorder="1"/>
    <xf numFmtId="0" fontId="58" fillId="0" borderId="0" xfId="0" applyFont="1"/>
    <xf numFmtId="0" fontId="23" fillId="3" borderId="2" xfId="0" applyFont="1" applyFill="1" applyBorder="1" applyAlignment="1">
      <alignment horizontal="center" vertical="center"/>
    </xf>
    <xf numFmtId="0" fontId="0" fillId="3" borderId="30" xfId="0" applyFill="1" applyBorder="1" applyAlignment="1">
      <alignment horizontal="center" vertical="center"/>
    </xf>
    <xf numFmtId="0" fontId="0" fillId="0" borderId="3" xfId="0" applyBorder="1" applyAlignment="1">
      <alignment vertical="center"/>
    </xf>
    <xf numFmtId="0" fontId="0" fillId="7" borderId="4" xfId="0" applyFill="1" applyBorder="1" applyAlignment="1">
      <alignment vertical="center"/>
    </xf>
    <xf numFmtId="0" fontId="0" fillId="0" borderId="17" xfId="0" applyBorder="1" applyAlignment="1">
      <alignment vertical="center"/>
    </xf>
    <xf numFmtId="0" fontId="0" fillId="7" borderId="4" xfId="0" applyFill="1" applyBorder="1" applyAlignment="1">
      <alignment vertical="center" shrinkToFit="1"/>
    </xf>
    <xf numFmtId="0" fontId="0" fillId="0" borderId="12" xfId="0" applyBorder="1" applyAlignment="1">
      <alignment vertical="center"/>
    </xf>
    <xf numFmtId="0" fontId="0" fillId="7" borderId="13" xfId="0" applyFill="1" applyBorder="1" applyAlignment="1">
      <alignment vertical="center"/>
    </xf>
    <xf numFmtId="0" fontId="0" fillId="0" borderId="6" xfId="0" applyBorder="1" applyAlignment="1">
      <alignment vertical="center"/>
    </xf>
    <xf numFmtId="0" fontId="59" fillId="0" borderId="26" xfId="2" applyFont="1" applyBorder="1" applyAlignment="1">
      <alignment vertical="center"/>
    </xf>
    <xf numFmtId="0" fontId="59" fillId="0" borderId="25" xfId="2" applyFont="1" applyBorder="1" applyAlignment="1">
      <alignment vertical="center"/>
    </xf>
    <xf numFmtId="0" fontId="59" fillId="0" borderId="32" xfId="2" applyFont="1" applyBorder="1" applyAlignment="1">
      <alignment vertical="center"/>
    </xf>
    <xf numFmtId="0" fontId="59" fillId="0" borderId="25" xfId="3" applyFont="1" applyBorder="1">
      <alignment vertical="center"/>
    </xf>
    <xf numFmtId="0" fontId="59" fillId="0" borderId="25" xfId="2" applyFont="1" applyBorder="1" applyAlignment="1">
      <alignment horizontal="left" vertical="center"/>
    </xf>
    <xf numFmtId="0" fontId="57" fillId="0" borderId="60" xfId="0" applyFont="1" applyBorder="1"/>
    <xf numFmtId="0" fontId="57" fillId="0" borderId="61" xfId="0" applyFont="1" applyBorder="1"/>
    <xf numFmtId="0" fontId="59" fillId="0" borderId="62" xfId="2" applyFont="1" applyBorder="1" applyAlignment="1">
      <alignment vertical="center"/>
    </xf>
    <xf numFmtId="0" fontId="59" fillId="0" borderId="25" xfId="0" applyNumberFormat="1" applyFont="1" applyFill="1" applyBorder="1" applyAlignment="1">
      <alignment vertical="top"/>
    </xf>
    <xf numFmtId="0" fontId="59" fillId="0" borderId="37" xfId="2" applyFont="1" applyBorder="1" applyAlignment="1">
      <alignment vertical="center"/>
    </xf>
    <xf numFmtId="0" fontId="59" fillId="0" borderId="0" xfId="0" applyNumberFormat="1" applyFont="1" applyFill="1" applyBorder="1" applyAlignment="1">
      <alignment vertical="top"/>
    </xf>
    <xf numFmtId="0" fontId="59" fillId="0" borderId="33" xfId="0" applyNumberFormat="1" applyFont="1" applyFill="1" applyBorder="1" applyAlignment="1">
      <alignment vertical="top"/>
    </xf>
    <xf numFmtId="0" fontId="60" fillId="0" borderId="0" xfId="0" applyNumberFormat="1" applyFont="1" applyFill="1" applyBorder="1" applyAlignment="1">
      <alignment vertical="top"/>
    </xf>
    <xf numFmtId="0" fontId="59" fillId="0" borderId="63" xfId="2" applyFont="1" applyBorder="1" applyAlignment="1">
      <alignment vertical="center"/>
    </xf>
    <xf numFmtId="0" fontId="59" fillId="0" borderId="32" xfId="0" applyNumberFormat="1" applyFont="1" applyFill="1" applyBorder="1" applyAlignment="1">
      <alignment vertical="top"/>
    </xf>
    <xf numFmtId="0" fontId="59" fillId="0" borderId="16" xfId="2" applyFont="1" applyBorder="1" applyAlignment="1">
      <alignment vertical="center"/>
    </xf>
    <xf numFmtId="0" fontId="59" fillId="0" borderId="49" xfId="0" applyNumberFormat="1" applyFont="1" applyFill="1" applyBorder="1" applyAlignment="1">
      <alignment vertical="top"/>
    </xf>
    <xf numFmtId="0" fontId="5" fillId="0" borderId="4" xfId="0" applyFont="1" applyFill="1" applyBorder="1" applyAlignment="1">
      <alignment vertical="center" wrapText="1"/>
    </xf>
    <xf numFmtId="0" fontId="5" fillId="0" borderId="13" xfId="0" applyFont="1" applyFill="1" applyBorder="1" applyAlignment="1">
      <alignment vertical="center" wrapText="1"/>
    </xf>
    <xf numFmtId="0" fontId="8" fillId="0" borderId="30" xfId="0" applyFont="1" applyBorder="1" applyAlignment="1">
      <alignment horizontal="left" vertical="center"/>
    </xf>
    <xf numFmtId="0" fontId="21" fillId="0" borderId="0" xfId="0" applyFont="1" applyFill="1" applyBorder="1" applyAlignment="1">
      <alignment horizontal="center" vertical="center"/>
    </xf>
    <xf numFmtId="0" fontId="63" fillId="0" borderId="0" xfId="0" applyFont="1" applyFill="1"/>
    <xf numFmtId="20" fontId="63" fillId="0" borderId="0" xfId="0" applyNumberFormat="1" applyFont="1" applyFill="1"/>
    <xf numFmtId="12" fontId="63" fillId="0" borderId="0" xfId="0" applyNumberFormat="1" applyFont="1" applyFill="1"/>
    <xf numFmtId="0" fontId="64" fillId="0" borderId="0" xfId="0" applyFont="1" applyFill="1" applyAlignment="1">
      <alignment vertical="center"/>
    </xf>
    <xf numFmtId="0" fontId="64" fillId="0" borderId="0" xfId="0" applyFont="1" applyFill="1" applyAlignment="1">
      <alignment vertical="top" wrapText="1"/>
    </xf>
    <xf numFmtId="0" fontId="64" fillId="0" borderId="0" xfId="0" applyFont="1" applyFill="1" applyAlignment="1">
      <alignment horizontal="center" vertical="top" wrapText="1"/>
    </xf>
    <xf numFmtId="0" fontId="64" fillId="0" borderId="0" xfId="0" quotePrefix="1" applyFont="1" applyFill="1" applyAlignment="1">
      <alignment vertical="top" wrapText="1"/>
    </xf>
    <xf numFmtId="0" fontId="64" fillId="0" borderId="0" xfId="0" quotePrefix="1" applyFont="1" applyFill="1" applyAlignment="1">
      <alignment horizontal="center" vertical="top" wrapText="1"/>
    </xf>
    <xf numFmtId="178" fontId="64" fillId="0" borderId="0" xfId="0" applyNumberFormat="1" applyFont="1" applyFill="1" applyAlignment="1">
      <alignment horizontal="center" vertical="top" wrapText="1"/>
    </xf>
    <xf numFmtId="20" fontId="65" fillId="0" borderId="31" xfId="0" applyNumberFormat="1" applyFont="1" applyBorder="1" applyAlignment="1">
      <alignment horizontal="center"/>
    </xf>
    <xf numFmtId="177" fontId="65" fillId="0" borderId="31" xfId="0" applyNumberFormat="1" applyFont="1" applyBorder="1" applyAlignment="1">
      <alignment horizontal="center"/>
    </xf>
    <xf numFmtId="0" fontId="65" fillId="0" borderId="31" xfId="0" applyFont="1" applyBorder="1" applyAlignment="1">
      <alignment horizontal="center"/>
    </xf>
    <xf numFmtId="0" fontId="60" fillId="11" borderId="39" xfId="2" applyFont="1" applyFill="1" applyBorder="1" applyAlignment="1">
      <alignment horizontal="center" vertical="center"/>
    </xf>
    <xf numFmtId="0" fontId="54" fillId="11" borderId="39" xfId="0" applyFont="1" applyFill="1" applyBorder="1" applyAlignment="1">
      <alignment horizontal="center" vertical="center"/>
    </xf>
    <xf numFmtId="0" fontId="60" fillId="11" borderId="62" xfId="0" applyNumberFormat="1" applyFont="1" applyFill="1" applyBorder="1" applyAlignment="1">
      <alignment vertical="top"/>
    </xf>
    <xf numFmtId="0" fontId="60" fillId="11" borderId="39" xfId="0" applyNumberFormat="1" applyFont="1" applyFill="1" applyBorder="1" applyAlignment="1">
      <alignment vertical="top"/>
    </xf>
    <xf numFmtId="0" fontId="60" fillId="11" borderId="36" xfId="0" applyNumberFormat="1" applyFont="1" applyFill="1" applyBorder="1" applyAlignment="1">
      <alignment vertical="top"/>
    </xf>
    <xf numFmtId="0" fontId="60" fillId="11" borderId="25" xfId="0" applyNumberFormat="1" applyFont="1" applyFill="1" applyBorder="1" applyAlignment="1">
      <alignment vertical="top"/>
    </xf>
    <xf numFmtId="0" fontId="65" fillId="11" borderId="40" xfId="0" applyFont="1" applyFill="1" applyBorder="1" applyAlignment="1">
      <alignment horizontal="center"/>
    </xf>
    <xf numFmtId="0" fontId="56" fillId="11" borderId="41" xfId="0" applyFont="1" applyFill="1" applyBorder="1" applyAlignment="1">
      <alignment horizontal="center"/>
    </xf>
    <xf numFmtId="0" fontId="56" fillId="11" borderId="29" xfId="0" applyFont="1" applyFill="1" applyBorder="1" applyAlignment="1">
      <alignment horizontal="center"/>
    </xf>
    <xf numFmtId="0" fontId="56" fillId="11" borderId="6" xfId="0" applyFont="1" applyFill="1" applyBorder="1" applyAlignment="1">
      <alignment horizontal="center"/>
    </xf>
    <xf numFmtId="0" fontId="59" fillId="0" borderId="25" xfId="0" applyFont="1" applyBorder="1" applyAlignment="1">
      <alignment vertical="center"/>
    </xf>
    <xf numFmtId="0" fontId="66" fillId="0" borderId="0" xfId="0" applyFont="1" applyAlignment="1">
      <alignment vertical="top"/>
    </xf>
    <xf numFmtId="0" fontId="67" fillId="0" borderId="66" xfId="0" applyFont="1" applyFill="1" applyBorder="1" applyAlignment="1">
      <alignment vertical="center" shrinkToFit="1"/>
    </xf>
    <xf numFmtId="0" fontId="67" fillId="0" borderId="67" xfId="0" applyFont="1" applyFill="1" applyBorder="1"/>
    <xf numFmtId="0" fontId="67" fillId="0" borderId="67" xfId="0" applyFont="1" applyFill="1" applyBorder="1" applyAlignment="1">
      <alignment vertical="center"/>
    </xf>
    <xf numFmtId="14" fontId="67" fillId="0" borderId="67" xfId="0" applyNumberFormat="1" applyFont="1" applyFill="1" applyBorder="1" applyAlignment="1">
      <alignment vertical="center"/>
    </xf>
    <xf numFmtId="0" fontId="67" fillId="0" borderId="68" xfId="0" applyFont="1" applyFill="1" applyBorder="1" applyAlignment="1">
      <alignment vertical="center"/>
    </xf>
    <xf numFmtId="0" fontId="67" fillId="0" borderId="54" xfId="0" applyFont="1" applyFill="1" applyBorder="1" applyAlignment="1">
      <alignment vertical="center" shrinkToFit="1"/>
    </xf>
    <xf numFmtId="0" fontId="67" fillId="0" borderId="55" xfId="0" applyFont="1" applyFill="1" applyBorder="1"/>
    <xf numFmtId="0" fontId="67" fillId="0" borderId="56" xfId="0" applyFont="1" applyFill="1" applyBorder="1" applyAlignment="1">
      <alignment vertical="center"/>
    </xf>
    <xf numFmtId="14" fontId="67" fillId="0" borderId="56" xfId="0" applyNumberFormat="1" applyFont="1" applyFill="1" applyBorder="1" applyAlignment="1">
      <alignment vertical="center"/>
    </xf>
    <xf numFmtId="0" fontId="67" fillId="0" borderId="57" xfId="0" applyFont="1" applyFill="1" applyBorder="1" applyAlignment="1">
      <alignment vertical="center"/>
    </xf>
    <xf numFmtId="22" fontId="67" fillId="0" borderId="55" xfId="0" applyNumberFormat="1" applyFont="1" applyFill="1" applyBorder="1" applyAlignment="1">
      <alignment vertical="center"/>
    </xf>
    <xf numFmtId="0" fontId="59" fillId="0" borderId="25" xfId="2" applyFont="1" applyBorder="1"/>
    <xf numFmtId="0" fontId="70" fillId="0" borderId="0" xfId="4" applyFont="1">
      <alignment vertical="center"/>
    </xf>
    <xf numFmtId="0" fontId="69" fillId="0" borderId="0" xfId="4">
      <alignment vertical="center"/>
    </xf>
    <xf numFmtId="0" fontId="69" fillId="12" borderId="31" xfId="4" applyFill="1" applyBorder="1">
      <alignment vertical="center"/>
    </xf>
    <xf numFmtId="0" fontId="69" fillId="0" borderId="31" xfId="4" applyBorder="1">
      <alignment vertical="center"/>
    </xf>
    <xf numFmtId="0" fontId="69" fillId="0" borderId="31" xfId="4" applyBorder="1" applyAlignment="1">
      <alignment vertical="center" wrapText="1"/>
    </xf>
    <xf numFmtId="0" fontId="71" fillId="0" borderId="31" xfId="4" applyFont="1" applyBorder="1">
      <alignment vertical="center"/>
    </xf>
    <xf numFmtId="0" fontId="69" fillId="0" borderId="69" xfId="4" applyBorder="1">
      <alignment vertical="center"/>
    </xf>
    <xf numFmtId="0" fontId="69" fillId="0" borderId="70" xfId="4" applyBorder="1">
      <alignment vertical="center"/>
    </xf>
    <xf numFmtId="0" fontId="69" fillId="0" borderId="71" xfId="4" applyBorder="1">
      <alignment vertical="center"/>
    </xf>
    <xf numFmtId="0" fontId="71" fillId="0" borderId="69" xfId="4" applyFont="1" applyBorder="1">
      <alignment vertical="center"/>
    </xf>
    <xf numFmtId="0" fontId="71" fillId="0" borderId="70" xfId="4" applyFont="1" applyBorder="1">
      <alignment vertical="center"/>
    </xf>
    <xf numFmtId="0" fontId="71" fillId="0" borderId="71" xfId="4" applyFont="1" applyBorder="1">
      <alignment vertical="center"/>
    </xf>
    <xf numFmtId="0" fontId="53" fillId="5" borderId="44" xfId="0" applyFont="1" applyFill="1" applyBorder="1" applyAlignment="1">
      <alignment horizontal="center" vertical="center"/>
    </xf>
    <xf numFmtId="0" fontId="53" fillId="5" borderId="50" xfId="0" applyFont="1" applyFill="1" applyBorder="1" applyAlignment="1">
      <alignment horizontal="center" vertical="center"/>
    </xf>
    <xf numFmtId="0" fontId="53" fillId="5" borderId="40" xfId="0" applyFont="1" applyFill="1" applyBorder="1" applyAlignment="1">
      <alignment horizontal="center" vertical="center"/>
    </xf>
    <xf numFmtId="0" fontId="7" fillId="4" borderId="12" xfId="0" applyFont="1" applyFill="1" applyBorder="1" applyAlignment="1">
      <alignment horizontal="right" vertical="center"/>
    </xf>
    <xf numFmtId="0" fontId="0" fillId="0" borderId="13" xfId="0" applyBorder="1" applyAlignment="1">
      <alignment vertical="center"/>
    </xf>
    <xf numFmtId="0" fontId="47" fillId="9" borderId="0" xfId="0" applyFont="1" applyFill="1" applyAlignment="1">
      <alignment horizontal="center" vertical="center" wrapText="1"/>
    </xf>
    <xf numFmtId="49" fontId="21" fillId="5" borderId="51" xfId="0" applyNumberFormat="1" applyFont="1" applyFill="1" applyBorder="1" applyAlignment="1">
      <alignment horizontal="center" vertical="center" shrinkToFit="1"/>
    </xf>
    <xf numFmtId="0" fontId="0" fillId="5" borderId="52" xfId="0" applyFill="1" applyBorder="1" applyAlignment="1">
      <alignment vertical="center"/>
    </xf>
    <xf numFmtId="0" fontId="5" fillId="4" borderId="38" xfId="0" applyFont="1" applyFill="1" applyBorder="1" applyAlignment="1">
      <alignment horizontal="right" vertical="center" shrinkToFit="1"/>
    </xf>
    <xf numFmtId="0" fontId="18" fillId="0" borderId="22" xfId="0" applyFont="1" applyBorder="1" applyAlignment="1">
      <alignment vertical="center"/>
    </xf>
    <xf numFmtId="0" fontId="0" fillId="0" borderId="2" xfId="0" applyBorder="1" applyAlignment="1">
      <alignment horizontal="left" vertical="center" shrinkToFit="1"/>
    </xf>
    <xf numFmtId="0" fontId="0" fillId="0" borderId="64" xfId="0" applyBorder="1" applyAlignment="1">
      <alignment horizontal="left" vertical="center"/>
    </xf>
    <xf numFmtId="0" fontId="0" fillId="0" borderId="65" xfId="0" applyBorder="1" applyAlignment="1">
      <alignment horizontal="left" vertical="center"/>
    </xf>
    <xf numFmtId="0" fontId="0" fillId="0" borderId="37" xfId="0" applyBorder="1" applyAlignment="1">
      <alignment horizontal="left" vertical="center"/>
    </xf>
    <xf numFmtId="14" fontId="37" fillId="8" borderId="53" xfId="0" applyNumberFormat="1" applyFont="1" applyFill="1" applyBorder="1" applyAlignment="1">
      <alignment vertical="center" shrinkToFit="1"/>
    </xf>
    <xf numFmtId="14" fontId="38" fillId="8" borderId="28" xfId="0" applyNumberFormat="1" applyFont="1" applyFill="1" applyBorder="1" applyAlignment="1">
      <alignment vertical="center" shrinkToFit="1"/>
    </xf>
    <xf numFmtId="0" fontId="39" fillId="0" borderId="28" xfId="0" applyFont="1" applyBorder="1" applyAlignment="1">
      <alignment vertical="center"/>
    </xf>
    <xf numFmtId="0" fontId="0" fillId="4" borderId="34" xfId="0" applyFill="1" applyBorder="1" applyAlignment="1">
      <alignment horizontal="center" vertical="center"/>
    </xf>
    <xf numFmtId="0" fontId="0" fillId="4" borderId="21" xfId="0" applyFill="1" applyBorder="1" applyAlignment="1">
      <alignment horizontal="center" vertical="center"/>
    </xf>
    <xf numFmtId="0" fontId="0" fillId="2" borderId="34" xfId="0" applyFill="1" applyBorder="1" applyAlignment="1">
      <alignment horizontal="center" vertical="center"/>
    </xf>
    <xf numFmtId="0" fontId="0" fillId="0" borderId="21" xfId="0" applyBorder="1" applyAlignment="1">
      <alignment horizontal="center" vertical="center"/>
    </xf>
    <xf numFmtId="0" fontId="49" fillId="3" borderId="35" xfId="0" applyFont="1" applyFill="1" applyBorder="1" applyAlignment="1">
      <alignment horizontal="center" vertical="center"/>
    </xf>
    <xf numFmtId="0" fontId="0" fillId="0" borderId="35" xfId="0" applyBorder="1" applyAlignment="1">
      <alignment horizontal="center" vertical="center"/>
    </xf>
    <xf numFmtId="0" fontId="5" fillId="10" borderId="35" xfId="0" applyFont="1" applyFill="1" applyBorder="1" applyAlignment="1">
      <alignment horizontal="center" vertical="center"/>
    </xf>
    <xf numFmtId="0" fontId="17" fillId="4" borderId="34" xfId="0" applyFont="1" applyFill="1" applyBorder="1" applyAlignment="1">
      <alignment horizontal="center" vertical="center"/>
    </xf>
    <xf numFmtId="0" fontId="20" fillId="4" borderId="48" xfId="0" applyFont="1" applyFill="1" applyBorder="1" applyAlignment="1">
      <alignment horizontal="center" vertical="center"/>
    </xf>
    <xf numFmtId="0" fontId="0" fillId="3" borderId="38" xfId="0" applyFill="1" applyBorder="1" applyAlignment="1">
      <alignment horizontal="center" vertical="center"/>
    </xf>
    <xf numFmtId="0" fontId="0" fillId="0" borderId="22" xfId="0" applyBorder="1" applyAlignment="1">
      <alignment horizontal="center" vertical="center"/>
    </xf>
    <xf numFmtId="0" fontId="0" fillId="0" borderId="34" xfId="0" applyBorder="1" applyAlignment="1">
      <alignment horizontal="center" vertical="center"/>
    </xf>
    <xf numFmtId="178" fontId="67" fillId="0" borderId="58" xfId="0" applyNumberFormat="1" applyFont="1" applyFill="1" applyBorder="1" applyAlignment="1">
      <alignment horizontal="left" vertical="center"/>
    </xf>
    <xf numFmtId="178" fontId="67" fillId="0" borderId="59" xfId="0" applyNumberFormat="1" applyFont="1" applyFill="1" applyBorder="1" applyAlignment="1">
      <alignment horizontal="left" vertical="center"/>
    </xf>
    <xf numFmtId="0" fontId="69" fillId="0" borderId="69" xfId="4" applyBorder="1" applyAlignment="1">
      <alignment horizontal="left" vertical="top"/>
    </xf>
    <xf numFmtId="0" fontId="69" fillId="0" borderId="71" xfId="4" applyBorder="1" applyAlignment="1">
      <alignment horizontal="left" vertical="top"/>
    </xf>
    <xf numFmtId="0" fontId="69" fillId="0" borderId="70" xfId="4" applyBorder="1" applyAlignment="1">
      <alignment horizontal="left" vertical="top"/>
    </xf>
    <xf numFmtId="0" fontId="59" fillId="0" borderId="25" xfId="0" applyFont="1" applyBorder="1"/>
  </cellXfs>
  <cellStyles count="5">
    <cellStyle name="ハイパーリンク" xfId="1" builtinId="8"/>
    <cellStyle name="標準" xfId="0" builtinId="0"/>
    <cellStyle name="標準 2" xfId="2" xr:uid="{00000000-0005-0000-0000-000002000000}"/>
    <cellStyle name="標準 3" xfId="3" xr:uid="{0DCD53E7-C7A9-4478-B8A2-64FDB0A1BC09}"/>
    <cellStyle name="標準 4" xfId="4" xr:uid="{369D34A9-19AD-41A4-999F-0E16FC114E02}"/>
  </cellStyles>
  <dxfs count="6">
    <dxf>
      <font>
        <condense val="0"/>
        <extend val="0"/>
        <color auto="1"/>
      </font>
      <fill>
        <patternFill patternType="none">
          <bgColor indexed="65"/>
        </patternFill>
      </fill>
    </dxf>
    <dxf>
      <font>
        <condense val="0"/>
        <extend val="0"/>
        <color indexed="12"/>
      </font>
      <fill>
        <patternFill patternType="solid">
          <bgColor indexed="26"/>
        </patternFill>
      </fill>
    </dxf>
    <dxf>
      <font>
        <condense val="0"/>
        <extend val="0"/>
        <color indexed="10"/>
      </font>
      <fill>
        <patternFill>
          <bgColor indexed="13"/>
        </patternFill>
      </fill>
    </dxf>
    <dxf>
      <fill>
        <patternFill>
          <bgColor indexed="42"/>
        </patternFill>
      </fill>
    </dxf>
    <dxf>
      <fill>
        <patternFill>
          <bgColor indexed="43"/>
        </patternFill>
      </fill>
    </dxf>
    <dxf>
      <fill>
        <patternFill>
          <bgColor indexed="4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6</xdr:col>
      <xdr:colOff>571500</xdr:colOff>
      <xdr:row>0</xdr:row>
      <xdr:rowOff>85725</xdr:rowOff>
    </xdr:from>
    <xdr:to>
      <xdr:col>10</xdr:col>
      <xdr:colOff>47625</xdr:colOff>
      <xdr:row>2</xdr:row>
      <xdr:rowOff>47625</xdr:rowOff>
    </xdr:to>
    <xdr:grpSp>
      <xdr:nvGrpSpPr>
        <xdr:cNvPr id="4426" name="Group 206">
          <a:extLst>
            <a:ext uri="{FF2B5EF4-FFF2-40B4-BE49-F238E27FC236}">
              <a16:creationId xmlns:a16="http://schemas.microsoft.com/office/drawing/2014/main" id="{00000000-0008-0000-0000-00004A110000}"/>
            </a:ext>
          </a:extLst>
        </xdr:cNvPr>
        <xdr:cNvGrpSpPr>
          <a:grpSpLocks/>
        </xdr:cNvGrpSpPr>
      </xdr:nvGrpSpPr>
      <xdr:grpSpPr bwMode="auto">
        <a:xfrm>
          <a:off x="8893969" y="85725"/>
          <a:ext cx="2095500" cy="581025"/>
          <a:chOff x="883" y="25"/>
          <a:chExt cx="221" cy="62"/>
        </a:xfrm>
      </xdr:grpSpPr>
      <xdr:sp macro="" textlink="">
        <xdr:nvSpPr>
          <xdr:cNvPr id="4427" name="Rectangle 199">
            <a:extLst>
              <a:ext uri="{FF2B5EF4-FFF2-40B4-BE49-F238E27FC236}">
                <a16:creationId xmlns:a16="http://schemas.microsoft.com/office/drawing/2014/main" id="{00000000-0008-0000-0000-00004B110000}"/>
              </a:ext>
            </a:extLst>
          </xdr:cNvPr>
          <xdr:cNvSpPr>
            <a:spLocks noChangeArrowheads="1"/>
          </xdr:cNvSpPr>
        </xdr:nvSpPr>
        <xdr:spPr bwMode="auto">
          <a:xfrm>
            <a:off x="885" y="25"/>
            <a:ext cx="219" cy="12"/>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28" name="Rectangle 201">
            <a:extLst>
              <a:ext uri="{FF2B5EF4-FFF2-40B4-BE49-F238E27FC236}">
                <a16:creationId xmlns:a16="http://schemas.microsoft.com/office/drawing/2014/main" id="{00000000-0008-0000-0000-00004C110000}"/>
              </a:ext>
            </a:extLst>
          </xdr:cNvPr>
          <xdr:cNvSpPr>
            <a:spLocks noChangeArrowheads="1"/>
          </xdr:cNvSpPr>
        </xdr:nvSpPr>
        <xdr:spPr bwMode="auto">
          <a:xfrm>
            <a:off x="885" y="75"/>
            <a:ext cx="219" cy="12"/>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29" name="Rectangle 202">
            <a:extLst>
              <a:ext uri="{FF2B5EF4-FFF2-40B4-BE49-F238E27FC236}">
                <a16:creationId xmlns:a16="http://schemas.microsoft.com/office/drawing/2014/main" id="{00000000-0008-0000-0000-00004D110000}"/>
              </a:ext>
            </a:extLst>
          </xdr:cNvPr>
          <xdr:cNvSpPr>
            <a:spLocks noChangeArrowheads="1"/>
          </xdr:cNvSpPr>
        </xdr:nvSpPr>
        <xdr:spPr bwMode="auto">
          <a:xfrm>
            <a:off x="883" y="27"/>
            <a:ext cx="11" cy="57"/>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30" name="Rectangle 203">
            <a:extLst>
              <a:ext uri="{FF2B5EF4-FFF2-40B4-BE49-F238E27FC236}">
                <a16:creationId xmlns:a16="http://schemas.microsoft.com/office/drawing/2014/main" id="{00000000-0008-0000-0000-00004E110000}"/>
              </a:ext>
            </a:extLst>
          </xdr:cNvPr>
          <xdr:cNvSpPr>
            <a:spLocks noChangeArrowheads="1"/>
          </xdr:cNvSpPr>
        </xdr:nvSpPr>
        <xdr:spPr bwMode="auto">
          <a:xfrm>
            <a:off x="1094" y="29"/>
            <a:ext cx="10" cy="57"/>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31" name="AutoShape 198">
            <a:extLst>
              <a:ext uri="{FF2B5EF4-FFF2-40B4-BE49-F238E27FC236}">
                <a16:creationId xmlns:a16="http://schemas.microsoft.com/office/drawing/2014/main" id="{00000000-0008-0000-0000-00004F110000}"/>
              </a:ext>
            </a:extLst>
          </xdr:cNvPr>
          <xdr:cNvSpPr>
            <a:spLocks noChangeArrowheads="1"/>
          </xdr:cNvSpPr>
        </xdr:nvSpPr>
        <xdr:spPr bwMode="auto">
          <a:xfrm>
            <a:off x="883" y="25"/>
            <a:ext cx="221" cy="62"/>
          </a:xfrm>
          <a:prstGeom prst="bevel">
            <a:avLst>
              <a:gd name="adj" fmla="val 21213"/>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304;&#12402;&#12394;&#24418;&#12305;&#35413;&#20385;&#22577;&#21578;&#26360;398&#65288;&#12479;&#12473;&#12463;&#21517;&#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ysc\&#38283;&#30330;&#20849;&#26377;\4KG\&#35413;&#20385;&#22577;&#21578;&#26360;373&#65288;G3D36L002_&#20849;&#36890;_&#12469;&#12540;&#12499;&#12473;&#36027;&#36969;&#29992;&#12510;&#12473;&#12479;&#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評価項目"/>
      <sheetName val="評価時間"/>
      <sheetName val="ランク判定"/>
      <sheetName val="ﾘｽﾄﾃﾞｰﾀ"/>
      <sheetName val="評価観点"/>
    </sheetNames>
    <sheetDataSet>
      <sheetData sheetId="0">
        <row r="9">
          <cell r="X9" t="str">
            <v>評価履歴①</v>
          </cell>
          <cell r="Y9" t="str">
            <v>評価履歴②</v>
          </cell>
          <cell r="Z9" t="str">
            <v>評価履歴③</v>
          </cell>
          <cell r="AA9" t="str">
            <v>評価履歴④</v>
          </cell>
          <cell r="AB9" t="str">
            <v>評価履歴⑤</v>
          </cell>
        </row>
        <row r="10">
          <cell r="Z10">
            <v>0</v>
          </cell>
          <cell r="AA10">
            <v>0</v>
          </cell>
          <cell r="AB10">
            <v>0</v>
          </cell>
        </row>
      </sheetData>
      <sheetData sheetId="1"/>
      <sheetData sheetId="2"/>
      <sheetData sheetId="3">
        <row r="2">
          <cell r="C2" t="str">
            <v>01 出力結果や計算の誤りなし</v>
          </cell>
          <cell r="D2" t="str">
            <v>01 不正データ作成やファイル破壊なし</v>
          </cell>
          <cell r="E2" t="str">
            <v>01 システムエラー表示なし</v>
          </cell>
          <cell r="F2" t="str">
            <v>01 5%以下のユーザ</v>
          </cell>
          <cell r="G2" t="str">
            <v>01 業務に全く支障をきたさない為、代替手段も不要</v>
          </cell>
          <cell r="H2" t="str">
            <v>01 軽い（障害にするか否か微妙なレベル）</v>
          </cell>
        </row>
        <row r="3">
          <cell r="C3" t="str">
            <v>04 金額以外の数値（人数・件数など）の誤り</v>
          </cell>
          <cell r="D3" t="str">
            <v>06 不正データ作成（お客様運用によりデータ復旧）</v>
          </cell>
          <cell r="E3" t="str">
            <v>05 システムエラー（応答後、通常運用が可能）</v>
          </cell>
          <cell r="F3" t="str">
            <v>04 5%～20%のユーザで発生する</v>
          </cell>
          <cell r="G3" t="str">
            <v>03 お客様による運用回避方法や代替手段がある</v>
          </cell>
          <cell r="H3" t="str">
            <v>04 普通（深刻では無いが次回VerUpで必ず改修）</v>
          </cell>
        </row>
        <row r="4">
          <cell r="C4" t="str">
            <v>08 その他の金額（一覧表など）の誤り</v>
          </cell>
          <cell r="D4" t="str">
            <v>09 ファイル破壊（お客様運用によりデータ復旧）</v>
          </cell>
          <cell r="E4" t="str">
            <v>10 システムエラー（応答後、継続運用が不可能）</v>
          </cell>
          <cell r="F4" t="str">
            <v>07 20%～50%のユーザで発生する</v>
          </cell>
          <cell r="G4" t="str">
            <v>08 代替手段や運用回避方法がない</v>
          </cell>
          <cell r="H4" t="str">
            <v>07 やや重い（再発送／DL公開は不要だが少し深刻）</v>
          </cell>
        </row>
        <row r="5">
          <cell r="C5" t="str">
            <v>12 その他の金額（給与・財務・謝金など）の誤り</v>
          </cell>
          <cell r="D5" t="str">
            <v>09 データ削除（お客様運用によりデータ復旧）</v>
          </cell>
          <cell r="E5" t="str">
            <v>10 強制終了やフリーズ</v>
          </cell>
          <cell r="F5" t="str">
            <v>12 50%以上のユーザで発生する</v>
          </cell>
          <cell r="H5" t="str">
            <v>11 重い（再発送／DL公開が必要か判断が必要）</v>
          </cell>
        </row>
        <row r="6">
          <cell r="C6" t="str">
            <v>12 利用者への請求金額の誤り</v>
          </cell>
          <cell r="D6" t="str">
            <v>10 不正データ作成（お客様運用ではデータ復旧せず）</v>
          </cell>
          <cell r="E6" t="str">
            <v>12 システムが起動できない（OLP等のIDC障害含む）</v>
          </cell>
          <cell r="H6" t="str">
            <v>15 深刻（再発送／DL公開が必要）</v>
          </cell>
        </row>
        <row r="7">
          <cell r="C7" t="str">
            <v>15 国・市町村への請求金額の誤り</v>
          </cell>
          <cell r="D7" t="str">
            <v>12 データ削除（お客様運用ではデータ復旧せず）</v>
          </cell>
        </row>
        <row r="8">
          <cell r="D8" t="str">
            <v>12 ファイル破壊（お客様運用ではデータ復旧せず）</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評価項目"/>
      <sheetName val="評価時間"/>
      <sheetName val="ランク判定"/>
      <sheetName val="ﾘｽﾄﾃﾞｰﾀ"/>
    </sheetNames>
    <sheetDataSet>
      <sheetData sheetId="0" refreshError="1"/>
      <sheetData sheetId="1" refreshError="1"/>
      <sheetData sheetId="2" refreshError="1"/>
      <sheetData sheetId="3">
        <row r="3">
          <cell r="B3" t="str">
            <v>安久津 悠</v>
          </cell>
        </row>
        <row r="4">
          <cell r="B4" t="str">
            <v>五十嵐 悠太</v>
          </cell>
        </row>
        <row r="5">
          <cell r="B5" t="str">
            <v>石川 康隆</v>
          </cell>
        </row>
        <row r="6">
          <cell r="B6" t="str">
            <v>石倉 佑基</v>
          </cell>
        </row>
        <row r="7">
          <cell r="B7" t="str">
            <v>石戸 英司</v>
          </cell>
        </row>
        <row r="8">
          <cell r="B8" t="str">
            <v>泉 智子</v>
          </cell>
        </row>
        <row r="9">
          <cell r="B9" t="str">
            <v>板垣 隆之</v>
          </cell>
        </row>
        <row r="10">
          <cell r="B10" t="str">
            <v>板坂 智裕</v>
          </cell>
        </row>
        <row r="11">
          <cell r="B11" t="str">
            <v>井上 良一</v>
          </cell>
        </row>
        <row r="12">
          <cell r="B12" t="str">
            <v>伊與田 大夢</v>
          </cell>
        </row>
        <row r="13">
          <cell r="B13" t="str">
            <v>臼居 直行</v>
          </cell>
        </row>
        <row r="14">
          <cell r="B14" t="str">
            <v>梅津 仁</v>
          </cell>
        </row>
        <row r="15">
          <cell r="B15" t="str">
            <v>遠藤 進</v>
          </cell>
        </row>
        <row r="16">
          <cell r="B16" t="str">
            <v>大内 孝紀</v>
          </cell>
        </row>
        <row r="17">
          <cell r="B17" t="str">
            <v>大浦 誠子</v>
          </cell>
        </row>
        <row r="18">
          <cell r="B18" t="str">
            <v>尾形 真美</v>
          </cell>
        </row>
        <row r="19">
          <cell r="B19" t="str">
            <v>小川 英彦</v>
          </cell>
        </row>
        <row r="20">
          <cell r="B20" t="str">
            <v>小山 恭子</v>
          </cell>
        </row>
        <row r="21">
          <cell r="B21" t="str">
            <v>折口 悟　</v>
          </cell>
        </row>
        <row r="22">
          <cell r="B22" t="str">
            <v>甲斐 優一</v>
          </cell>
        </row>
        <row r="23">
          <cell r="B23" t="str">
            <v>加藤 敏</v>
          </cell>
        </row>
        <row r="24">
          <cell r="B24" t="str">
            <v>加藤 幹大</v>
          </cell>
        </row>
        <row r="25">
          <cell r="B25" t="str">
            <v>川合 馨</v>
          </cell>
        </row>
        <row r="26">
          <cell r="B26" t="str">
            <v>菊地 亮次</v>
          </cell>
        </row>
        <row r="27">
          <cell r="B27" t="str">
            <v>黒田 孝之</v>
          </cell>
        </row>
        <row r="28">
          <cell r="B28" t="str">
            <v>黒山 遼平</v>
          </cell>
        </row>
        <row r="29">
          <cell r="B29" t="str">
            <v>後藤 優大</v>
          </cell>
        </row>
        <row r="30">
          <cell r="B30" t="str">
            <v>後藤 佳奈美</v>
          </cell>
        </row>
        <row r="31">
          <cell r="B31" t="str">
            <v>後藤 昌樹</v>
          </cell>
        </row>
        <row r="32">
          <cell r="B32" t="str">
            <v>小山 忠宝</v>
          </cell>
        </row>
        <row r="33">
          <cell r="B33" t="str">
            <v>今 彩</v>
          </cell>
        </row>
        <row r="34">
          <cell r="B34" t="str">
            <v>近藤 久留美</v>
          </cell>
        </row>
        <row r="35">
          <cell r="B35" t="str">
            <v>齋藤 誠</v>
          </cell>
        </row>
        <row r="36">
          <cell r="B36" t="str">
            <v>齋藤 慎也</v>
          </cell>
        </row>
        <row r="37">
          <cell r="B37" t="str">
            <v>齋藤 秀信</v>
          </cell>
        </row>
        <row r="38">
          <cell r="B38" t="str">
            <v>齋藤 大雅</v>
          </cell>
        </row>
        <row r="39">
          <cell r="B39" t="str">
            <v>作田 洋二</v>
          </cell>
        </row>
        <row r="40">
          <cell r="B40" t="str">
            <v>佐々木 浩徳</v>
          </cell>
        </row>
        <row r="41">
          <cell r="B41" t="str">
            <v>佐々木 航</v>
          </cell>
        </row>
        <row r="42">
          <cell r="B42" t="str">
            <v>佐藤 優大</v>
          </cell>
        </row>
        <row r="43">
          <cell r="B43" t="str">
            <v>佐藤 大輔</v>
          </cell>
        </row>
        <row r="44">
          <cell r="B44" t="str">
            <v>佐藤 知紘</v>
          </cell>
        </row>
        <row r="45">
          <cell r="B45" t="str">
            <v>佐藤 徳和</v>
          </cell>
        </row>
        <row r="46">
          <cell r="B46" t="str">
            <v>佐藤 仁啓</v>
          </cell>
        </row>
        <row r="47">
          <cell r="B47" t="str">
            <v>佐藤 友哉</v>
          </cell>
        </row>
        <row r="48">
          <cell r="B48" t="str">
            <v>山王堂 豊</v>
          </cell>
        </row>
        <row r="49">
          <cell r="B49" t="str">
            <v>清水 雄介</v>
          </cell>
        </row>
        <row r="50">
          <cell r="B50" t="str">
            <v>首藤 弘樹</v>
          </cell>
        </row>
        <row r="51">
          <cell r="B51" t="str">
            <v>須貝 鉄矢</v>
          </cell>
        </row>
        <row r="52">
          <cell r="B52" t="str">
            <v>須貝 美香</v>
          </cell>
        </row>
        <row r="53">
          <cell r="B53" t="str">
            <v>菅原 龍介</v>
          </cell>
        </row>
        <row r="54">
          <cell r="B54" t="str">
            <v>鈴木 滋文</v>
          </cell>
        </row>
        <row r="55">
          <cell r="B55" t="str">
            <v>鈴木 克也</v>
          </cell>
        </row>
        <row r="56">
          <cell r="B56" t="str">
            <v>鈴木 上太</v>
          </cell>
        </row>
        <row r="57">
          <cell r="B57" t="str">
            <v>鈴木 晴巳</v>
          </cell>
        </row>
        <row r="58">
          <cell r="B58" t="str">
            <v>平 繁美</v>
          </cell>
        </row>
        <row r="59">
          <cell r="B59" t="str">
            <v>高瀬 広之</v>
          </cell>
        </row>
        <row r="60">
          <cell r="B60" t="str">
            <v>高谷 一磨</v>
          </cell>
        </row>
        <row r="61">
          <cell r="B61" t="str">
            <v>高橋 翔人</v>
          </cell>
        </row>
        <row r="62">
          <cell r="B62" t="str">
            <v>高橋 美和</v>
          </cell>
        </row>
        <row r="63">
          <cell r="B63" t="str">
            <v>高橋 綾乃</v>
          </cell>
        </row>
        <row r="64">
          <cell r="B64" t="str">
            <v>高橋 和弘</v>
          </cell>
        </row>
        <row r="65">
          <cell r="B65" t="str">
            <v>高橋 誠</v>
          </cell>
        </row>
        <row r="66">
          <cell r="B66" t="str">
            <v>高橋 涼子</v>
          </cell>
        </row>
        <row r="67">
          <cell r="B67" t="str">
            <v>田中 克季</v>
          </cell>
        </row>
        <row r="68">
          <cell r="B68" t="str">
            <v>田中 伸幸</v>
          </cell>
        </row>
        <row r="69">
          <cell r="B69" t="str">
            <v>田中 佑</v>
          </cell>
        </row>
        <row r="70">
          <cell r="B70" t="str">
            <v>田林 滋夫</v>
          </cell>
        </row>
        <row r="71">
          <cell r="B71" t="str">
            <v>田村 秀樹</v>
          </cell>
        </row>
        <row r="72">
          <cell r="B72" t="str">
            <v>中鉢 憲子</v>
          </cell>
        </row>
        <row r="73">
          <cell r="B73" t="str">
            <v>張 彪</v>
          </cell>
        </row>
        <row r="74">
          <cell r="B74" t="str">
            <v>塚田 登</v>
          </cell>
        </row>
        <row r="75">
          <cell r="B75" t="str">
            <v>土取 毅</v>
          </cell>
        </row>
        <row r="76">
          <cell r="B76" t="str">
            <v>堤 勇介</v>
          </cell>
        </row>
        <row r="77">
          <cell r="B77" t="str">
            <v>椿 一秋</v>
          </cell>
        </row>
        <row r="78">
          <cell r="B78" t="str">
            <v>董 明官</v>
          </cell>
        </row>
        <row r="79">
          <cell r="B79" t="str">
            <v>通山 敬久</v>
          </cell>
        </row>
        <row r="80">
          <cell r="B80" t="str">
            <v>豊田 隆一</v>
          </cell>
        </row>
        <row r="81">
          <cell r="B81" t="str">
            <v>長岡 健生</v>
          </cell>
        </row>
        <row r="82">
          <cell r="B82" t="str">
            <v>中原 和雄</v>
          </cell>
        </row>
        <row r="83">
          <cell r="B83" t="str">
            <v>温井 康人</v>
          </cell>
        </row>
        <row r="84">
          <cell r="B84" t="str">
            <v>沼沢 信正</v>
          </cell>
        </row>
        <row r="85">
          <cell r="B85" t="str">
            <v>沼尻学</v>
          </cell>
        </row>
        <row r="86">
          <cell r="B86" t="str">
            <v>羽賀 明人</v>
          </cell>
        </row>
        <row r="87">
          <cell r="B87" t="str">
            <v>羽咋 宏晃</v>
          </cell>
        </row>
        <row r="88">
          <cell r="B88" t="str">
            <v>畠山 千里</v>
          </cell>
        </row>
        <row r="89">
          <cell r="B89" t="str">
            <v>花輪 瑞穂</v>
          </cell>
        </row>
        <row r="90">
          <cell r="B90" t="str">
            <v>濱田 繁之</v>
          </cell>
        </row>
        <row r="91">
          <cell r="B91" t="str">
            <v>平谷 晋</v>
          </cell>
        </row>
        <row r="92">
          <cell r="B92" t="str">
            <v>古谷 幸大</v>
          </cell>
        </row>
        <row r="93">
          <cell r="B93" t="str">
            <v>星野 隆太</v>
          </cell>
        </row>
        <row r="94">
          <cell r="B94" t="str">
            <v>本間 友加里</v>
          </cell>
        </row>
        <row r="95">
          <cell r="B95" t="str">
            <v>前原 貴宏</v>
          </cell>
        </row>
        <row r="96">
          <cell r="B96" t="str">
            <v>牧野 慎太郎</v>
          </cell>
        </row>
        <row r="97">
          <cell r="B97" t="str">
            <v>松田 佳菜</v>
          </cell>
        </row>
        <row r="98">
          <cell r="B98" t="str">
            <v>丸森 亮平</v>
          </cell>
        </row>
        <row r="99">
          <cell r="B99" t="str">
            <v>三浦 嘉之</v>
          </cell>
        </row>
        <row r="100">
          <cell r="B100" t="str">
            <v>三澤 正光</v>
          </cell>
        </row>
        <row r="101">
          <cell r="B101" t="str">
            <v>三本 学</v>
          </cell>
        </row>
        <row r="102">
          <cell r="B102" t="str">
            <v>明星 尚</v>
          </cell>
        </row>
        <row r="103">
          <cell r="B103" t="str">
            <v>向田 寛美</v>
          </cell>
        </row>
        <row r="104">
          <cell r="B104" t="str">
            <v>村上 研治</v>
          </cell>
        </row>
        <row r="105">
          <cell r="B105" t="str">
            <v>保田 利幸</v>
          </cell>
        </row>
        <row r="106">
          <cell r="B106" t="str">
            <v>藪田 寿一</v>
          </cell>
        </row>
        <row r="107">
          <cell r="B107" t="str">
            <v>山口 晶太</v>
          </cell>
        </row>
        <row r="108">
          <cell r="B108" t="str">
            <v>山口 里志</v>
          </cell>
        </row>
        <row r="109">
          <cell r="B109" t="str">
            <v>山口 孝弘</v>
          </cell>
        </row>
        <row r="110">
          <cell r="B110" t="str">
            <v>山口 雅世</v>
          </cell>
        </row>
        <row r="111">
          <cell r="B111" t="str">
            <v>山科 倫令</v>
          </cell>
        </row>
        <row r="112">
          <cell r="B112" t="str">
            <v>山田 諭</v>
          </cell>
        </row>
        <row r="113">
          <cell r="B113" t="str">
            <v>山田 隼人</v>
          </cell>
        </row>
        <row r="114">
          <cell r="B114" t="str">
            <v>横澤 和良</v>
          </cell>
        </row>
        <row r="115">
          <cell r="B115" t="str">
            <v>横山 拓哉</v>
          </cell>
        </row>
        <row r="116">
          <cell r="B116" t="str">
            <v>吉田 旭</v>
          </cell>
        </row>
        <row r="117">
          <cell r="B117" t="str">
            <v>淀野 高史</v>
          </cell>
        </row>
        <row r="118">
          <cell r="B118" t="str">
            <v>和田 康成</v>
          </cell>
        </row>
        <row r="119">
          <cell r="B119" t="str">
            <v>渡瀬 英記</v>
          </cell>
        </row>
        <row r="120">
          <cell r="B120" t="str">
            <v>渡邉 悟</v>
          </cell>
        </row>
        <row r="121">
          <cell r="B121" t="str">
            <v>渡部 純</v>
          </cell>
        </row>
        <row r="122">
          <cell r="B122" t="str">
            <v>タス</v>
          </cell>
        </row>
        <row r="123">
          <cell r="B123" t="str">
            <v>API</v>
          </cell>
        </row>
        <row r="125">
          <cell r="B125" t="str">
            <v>相澤 直美</v>
          </cell>
        </row>
        <row r="126">
          <cell r="B126" t="str">
            <v>相田 裕子</v>
          </cell>
        </row>
        <row r="127">
          <cell r="B127" t="str">
            <v>浅川 尚紀</v>
          </cell>
        </row>
        <row r="128">
          <cell r="B128" t="str">
            <v>足立 是彦</v>
          </cell>
        </row>
        <row r="129">
          <cell r="B129" t="str">
            <v>厚谷 忠相</v>
          </cell>
        </row>
        <row r="130">
          <cell r="B130" t="str">
            <v>阿部 みずほ</v>
          </cell>
        </row>
        <row r="131">
          <cell r="B131" t="str">
            <v>阿部 滋</v>
          </cell>
        </row>
        <row r="132">
          <cell r="B132" t="str">
            <v>安斎 隆一</v>
          </cell>
        </row>
        <row r="133">
          <cell r="B133" t="str">
            <v>安徳 慎一</v>
          </cell>
        </row>
        <row r="134">
          <cell r="B134" t="str">
            <v>飯田 浩己</v>
          </cell>
        </row>
        <row r="135">
          <cell r="B135" t="str">
            <v>飯田 洋幸</v>
          </cell>
        </row>
        <row r="136">
          <cell r="B136" t="str">
            <v>五十嵐 康仁</v>
          </cell>
        </row>
        <row r="137">
          <cell r="B137" t="str">
            <v>五十嵐 洋子</v>
          </cell>
        </row>
        <row r="138">
          <cell r="B138" t="str">
            <v>五十嵐 由香</v>
          </cell>
        </row>
        <row r="139">
          <cell r="B139" t="str">
            <v>池田 瑠菜</v>
          </cell>
        </row>
        <row r="140">
          <cell r="B140" t="str">
            <v>池田 祥章</v>
          </cell>
        </row>
        <row r="141">
          <cell r="B141" t="str">
            <v>石井 創</v>
          </cell>
        </row>
        <row r="142">
          <cell r="B142" t="str">
            <v>石川 遙</v>
          </cell>
        </row>
        <row r="143">
          <cell r="B143" t="str">
            <v>石倉 佑基</v>
          </cell>
        </row>
        <row r="144">
          <cell r="B144" t="str">
            <v>石田 拓也</v>
          </cell>
        </row>
        <row r="145">
          <cell r="B145" t="str">
            <v>石戸 英司</v>
          </cell>
        </row>
        <row r="146">
          <cell r="B146" t="str">
            <v>泉 俊行</v>
          </cell>
        </row>
        <row r="147">
          <cell r="B147" t="str">
            <v>泉 智子</v>
          </cell>
        </row>
        <row r="148">
          <cell r="B148" t="str">
            <v>泉 智寿</v>
          </cell>
        </row>
        <row r="149">
          <cell r="B149" t="str">
            <v>磯部 紗智</v>
          </cell>
        </row>
        <row r="150">
          <cell r="B150" t="str">
            <v>板坂 智裕</v>
          </cell>
        </row>
        <row r="151">
          <cell r="B151" t="str">
            <v>出元 成一</v>
          </cell>
        </row>
        <row r="152">
          <cell r="B152" t="str">
            <v>伊藤 しのぶ</v>
          </cell>
        </row>
        <row r="153">
          <cell r="B153" t="str">
            <v>伊藤 慎吾</v>
          </cell>
        </row>
        <row r="154">
          <cell r="B154" t="str">
            <v>伊藤 太貴</v>
          </cell>
        </row>
        <row r="155">
          <cell r="B155" t="str">
            <v>伊藤 強志</v>
          </cell>
        </row>
        <row r="156">
          <cell r="B156" t="str">
            <v>伊藤 智美</v>
          </cell>
        </row>
        <row r="157">
          <cell r="B157" t="str">
            <v>伊藤 雅治</v>
          </cell>
        </row>
        <row r="158">
          <cell r="B158" t="str">
            <v>伊藤 隆章</v>
          </cell>
        </row>
        <row r="159">
          <cell r="B159" t="str">
            <v>伊藤 麻理奈</v>
          </cell>
        </row>
        <row r="160">
          <cell r="B160" t="str">
            <v>井上 美和</v>
          </cell>
        </row>
        <row r="161">
          <cell r="B161" t="str">
            <v>井上 良一</v>
          </cell>
        </row>
        <row r="162">
          <cell r="B162" t="str">
            <v>井上 佳典</v>
          </cell>
        </row>
        <row r="163">
          <cell r="B163" t="str">
            <v>今井 真由美</v>
          </cell>
        </row>
        <row r="164">
          <cell r="B164" t="str">
            <v>今川 千歳</v>
          </cell>
        </row>
        <row r="165">
          <cell r="B165" t="str">
            <v>今村 瞬</v>
          </cell>
        </row>
        <row r="166">
          <cell r="B166" t="str">
            <v>伊與田 大夢</v>
          </cell>
        </row>
        <row r="167">
          <cell r="B167" t="str">
            <v>岩木 一成</v>
          </cell>
        </row>
        <row r="168">
          <cell r="B168" t="str">
            <v>内野 正義</v>
          </cell>
        </row>
        <row r="169">
          <cell r="B169" t="str">
            <v>内山 満裕</v>
          </cell>
        </row>
        <row r="170">
          <cell r="B170" t="str">
            <v>梅津 奈未子</v>
          </cell>
        </row>
        <row r="171">
          <cell r="B171" t="str">
            <v>梅津 舞子</v>
          </cell>
        </row>
        <row r="172">
          <cell r="B172" t="str">
            <v>梅津 光生</v>
          </cell>
        </row>
        <row r="173">
          <cell r="B173" t="str">
            <v>江袋 聡美</v>
          </cell>
        </row>
        <row r="174">
          <cell r="B174" t="str">
            <v>遠藤 由紀</v>
          </cell>
        </row>
        <row r="175">
          <cell r="B175" t="str">
            <v>遠藤 友紀</v>
          </cell>
        </row>
        <row r="176">
          <cell r="B176" t="str">
            <v>及川 勝洋</v>
          </cell>
        </row>
        <row r="177">
          <cell r="B177" t="str">
            <v>大浦 誠子</v>
          </cell>
        </row>
        <row r="178">
          <cell r="B178" t="str">
            <v>大江 英樹</v>
          </cell>
        </row>
        <row r="179">
          <cell r="B179" t="str">
            <v>大越 祐子</v>
          </cell>
        </row>
        <row r="180">
          <cell r="B180" t="str">
            <v>大澤 博子</v>
          </cell>
        </row>
        <row r="181">
          <cell r="B181" t="str">
            <v>大滝 結</v>
          </cell>
        </row>
        <row r="182">
          <cell r="B182" t="str">
            <v>大竹 貴臣</v>
          </cell>
        </row>
        <row r="183">
          <cell r="B183" t="str">
            <v>大塚 雄二</v>
          </cell>
        </row>
        <row r="184">
          <cell r="B184" t="str">
            <v>大友 香奈</v>
          </cell>
        </row>
        <row r="185">
          <cell r="B185" t="str">
            <v>大沼 由加</v>
          </cell>
        </row>
        <row r="186">
          <cell r="B186" t="str">
            <v>大橋 正明</v>
          </cell>
        </row>
        <row r="187">
          <cell r="B187" t="str">
            <v>岡田 佳奈子</v>
          </cell>
        </row>
        <row r="188">
          <cell r="B188" t="str">
            <v>緒方 孝治</v>
          </cell>
        </row>
        <row r="189">
          <cell r="B189" t="str">
            <v>岡本 眞一</v>
          </cell>
        </row>
        <row r="190">
          <cell r="B190" t="str">
            <v>小川 英彦</v>
          </cell>
        </row>
        <row r="191">
          <cell r="B191" t="str">
            <v>荻原 稔</v>
          </cell>
        </row>
        <row r="192">
          <cell r="B192" t="str">
            <v>小髙 義也</v>
          </cell>
        </row>
        <row r="193">
          <cell r="B193" t="str">
            <v>織田　將克</v>
          </cell>
        </row>
        <row r="194">
          <cell r="B194" t="str">
            <v>落合 尊則</v>
          </cell>
        </row>
        <row r="195">
          <cell r="B195" t="str">
            <v>小山 恭子</v>
          </cell>
        </row>
        <row r="196">
          <cell r="B196" t="str">
            <v>小山 佳輝</v>
          </cell>
        </row>
        <row r="197">
          <cell r="B197" t="str">
            <v>折口 悟　</v>
          </cell>
        </row>
        <row r="198">
          <cell r="B198" t="str">
            <v>折原 接子</v>
          </cell>
        </row>
        <row r="199">
          <cell r="B199" t="str">
            <v>海原 敏浩</v>
          </cell>
        </row>
        <row r="200">
          <cell r="B200" t="str">
            <v>鏡 晃平</v>
          </cell>
        </row>
        <row r="201">
          <cell r="B201" t="str">
            <v>鍵本 久利絵</v>
          </cell>
        </row>
        <row r="202">
          <cell r="B202" t="str">
            <v>掛谷 忠志</v>
          </cell>
        </row>
        <row r="203">
          <cell r="B203" t="str">
            <v>柏倉 芙美</v>
          </cell>
        </row>
        <row r="204">
          <cell r="B204" t="str">
            <v>柏原 武</v>
          </cell>
        </row>
        <row r="205">
          <cell r="B205" t="str">
            <v>加藤 秀平</v>
          </cell>
        </row>
        <row r="206">
          <cell r="B206" t="str">
            <v>加藤 千晴</v>
          </cell>
        </row>
        <row r="207">
          <cell r="B207" t="str">
            <v>加藤 里絵</v>
          </cell>
        </row>
        <row r="208">
          <cell r="B208" t="str">
            <v>嘉藤 友美</v>
          </cell>
        </row>
        <row r="209">
          <cell r="B209" t="str">
            <v>加藤 幹大</v>
          </cell>
        </row>
        <row r="210">
          <cell r="B210" t="str">
            <v>金子 利浩</v>
          </cell>
        </row>
        <row r="211">
          <cell r="B211" t="str">
            <v>金子 智彰</v>
          </cell>
        </row>
        <row r="212">
          <cell r="B212" t="str">
            <v>金子 雄太</v>
          </cell>
        </row>
        <row r="213">
          <cell r="B213" t="str">
            <v>金田 明子</v>
          </cell>
        </row>
        <row r="214">
          <cell r="B214" t="str">
            <v>鎌田 大輔</v>
          </cell>
        </row>
        <row r="215">
          <cell r="B215" t="str">
            <v>上村 潤</v>
          </cell>
        </row>
        <row r="216">
          <cell r="B216" t="str">
            <v>亀本 伸幸</v>
          </cell>
        </row>
        <row r="217">
          <cell r="B217" t="str">
            <v>唐澤 裕智</v>
          </cell>
        </row>
        <row r="218">
          <cell r="B218" t="str">
            <v>川合 千穂</v>
          </cell>
        </row>
        <row r="219">
          <cell r="B219" t="str">
            <v>川合 馨</v>
          </cell>
        </row>
        <row r="220">
          <cell r="B220" t="str">
            <v>川崎 竜一</v>
          </cell>
        </row>
        <row r="221">
          <cell r="B221" t="str">
            <v>川村 篤史</v>
          </cell>
        </row>
        <row r="222">
          <cell r="B222" t="str">
            <v>川本 真也</v>
          </cell>
        </row>
        <row r="223">
          <cell r="B223" t="str">
            <v>菊田 真経</v>
          </cell>
        </row>
        <row r="224">
          <cell r="B224" t="str">
            <v>菊地 明子</v>
          </cell>
        </row>
        <row r="225">
          <cell r="B225" t="str">
            <v>木皿 直樹</v>
          </cell>
        </row>
        <row r="226">
          <cell r="B226" t="str">
            <v>岸田 真以子</v>
          </cell>
        </row>
        <row r="227">
          <cell r="B227" t="str">
            <v>貴田 和樹</v>
          </cell>
        </row>
        <row r="228">
          <cell r="B228" t="str">
            <v>衣川 明沙</v>
          </cell>
        </row>
        <row r="229">
          <cell r="B229" t="str">
            <v>木下 勲</v>
          </cell>
        </row>
        <row r="230">
          <cell r="B230" t="str">
            <v>木下 大輔</v>
          </cell>
        </row>
        <row r="231">
          <cell r="B231" t="str">
            <v>木下 直人</v>
          </cell>
        </row>
        <row r="232">
          <cell r="B232" t="str">
            <v>木村 彩</v>
          </cell>
        </row>
        <row r="233">
          <cell r="B233" t="str">
            <v>轡田 地世美</v>
          </cell>
        </row>
        <row r="234">
          <cell r="B234" t="str">
            <v>工藤 基紀</v>
          </cell>
        </row>
        <row r="235">
          <cell r="B235" t="str">
            <v>国武 紀子</v>
          </cell>
        </row>
        <row r="236">
          <cell r="B236" t="str">
            <v>国広 久路</v>
          </cell>
        </row>
        <row r="237">
          <cell r="B237" t="str">
            <v>久保 健</v>
          </cell>
        </row>
        <row r="238">
          <cell r="B238" t="str">
            <v>倉石 善雄</v>
          </cell>
        </row>
        <row r="239">
          <cell r="B239" t="str">
            <v>黒田 孝之</v>
          </cell>
        </row>
        <row r="240">
          <cell r="B240" t="str">
            <v>黒山 遼平</v>
          </cell>
        </row>
        <row r="241">
          <cell r="B241" t="str">
            <v>幸山 敦</v>
          </cell>
        </row>
        <row r="242">
          <cell r="B242" t="str">
            <v>興梠 勝彦</v>
          </cell>
        </row>
        <row r="243">
          <cell r="B243" t="str">
            <v>小菓 潔</v>
          </cell>
        </row>
        <row r="244">
          <cell r="B244" t="str">
            <v>小門 聖弘</v>
          </cell>
        </row>
        <row r="245">
          <cell r="B245" t="str">
            <v>小口 妙子</v>
          </cell>
        </row>
        <row r="246">
          <cell r="B246" t="str">
            <v>小関 裕也</v>
          </cell>
        </row>
        <row r="247">
          <cell r="B247" t="str">
            <v>小関 佳奈</v>
          </cell>
        </row>
        <row r="248">
          <cell r="B248" t="str">
            <v>小関 陽子</v>
          </cell>
        </row>
        <row r="249">
          <cell r="B249" t="str">
            <v>兒玉 亜希子</v>
          </cell>
        </row>
        <row r="250">
          <cell r="B250" t="str">
            <v>後藤 裕美</v>
          </cell>
        </row>
        <row r="251">
          <cell r="B251" t="str">
            <v>後藤　万里子</v>
          </cell>
        </row>
        <row r="252">
          <cell r="B252" t="str">
            <v>小林 紀美子</v>
          </cell>
        </row>
        <row r="253">
          <cell r="B253" t="str">
            <v>小林 純子</v>
          </cell>
        </row>
        <row r="254">
          <cell r="B254" t="str">
            <v>小林 弘典</v>
          </cell>
        </row>
        <row r="255">
          <cell r="B255" t="str">
            <v>小室 剛史</v>
          </cell>
        </row>
        <row r="256">
          <cell r="B256" t="str">
            <v>小山 昌宏</v>
          </cell>
        </row>
        <row r="257">
          <cell r="B257" t="str">
            <v>近藤 久留美</v>
          </cell>
        </row>
        <row r="258">
          <cell r="B258" t="str">
            <v>近藤 正樹</v>
          </cell>
        </row>
        <row r="259">
          <cell r="B259" t="str">
            <v>今野 なぎさ</v>
          </cell>
        </row>
        <row r="260">
          <cell r="B260" t="str">
            <v>今野 華瑠香</v>
          </cell>
        </row>
        <row r="261">
          <cell r="B261" t="str">
            <v>齋藤 秀一</v>
          </cell>
        </row>
        <row r="262">
          <cell r="B262" t="str">
            <v>齋藤 隼人</v>
          </cell>
        </row>
        <row r="263">
          <cell r="B263" t="str">
            <v>斉藤 真由美</v>
          </cell>
        </row>
        <row r="264">
          <cell r="B264" t="str">
            <v>齋藤 浩一</v>
          </cell>
        </row>
        <row r="265">
          <cell r="B265" t="str">
            <v>齋藤 慎也</v>
          </cell>
        </row>
        <row r="266">
          <cell r="B266" t="str">
            <v>齋藤 暢慶</v>
          </cell>
        </row>
        <row r="267">
          <cell r="B267" t="str">
            <v>齋藤 大雅</v>
          </cell>
        </row>
        <row r="268">
          <cell r="B268" t="str">
            <v>齋藤 嘉一</v>
          </cell>
        </row>
        <row r="269">
          <cell r="B269" t="str">
            <v>寒河江 千恵</v>
          </cell>
        </row>
        <row r="270">
          <cell r="B270" t="str">
            <v>榊原 達郎</v>
          </cell>
        </row>
        <row r="271">
          <cell r="B271" t="str">
            <v>坂本 貴弘</v>
          </cell>
        </row>
        <row r="272">
          <cell r="B272" t="str">
            <v>作田 洋二</v>
          </cell>
        </row>
        <row r="273">
          <cell r="B273" t="str">
            <v>迫田 武志</v>
          </cell>
        </row>
        <row r="274">
          <cell r="B274" t="str">
            <v>佐々木 浩徳</v>
          </cell>
        </row>
        <row r="275">
          <cell r="B275" t="str">
            <v>笹原 晴香</v>
          </cell>
        </row>
        <row r="276">
          <cell r="B276" t="str">
            <v>指谷 恵里</v>
          </cell>
        </row>
        <row r="277">
          <cell r="B277" t="str">
            <v>佐藤 沙織</v>
          </cell>
        </row>
        <row r="278">
          <cell r="B278" t="str">
            <v>佐藤 真規</v>
          </cell>
        </row>
        <row r="279">
          <cell r="B279" t="str">
            <v>佐藤 美香</v>
          </cell>
        </row>
        <row r="280">
          <cell r="B280" t="str">
            <v>佐藤 優大</v>
          </cell>
        </row>
        <row r="281">
          <cell r="B281" t="str">
            <v>佐藤 幸</v>
          </cell>
        </row>
        <row r="282">
          <cell r="B282" t="str">
            <v>佐藤 貴範</v>
          </cell>
        </row>
        <row r="283">
          <cell r="B283" t="str">
            <v>佐藤 健比古</v>
          </cell>
        </row>
        <row r="284">
          <cell r="B284" t="str">
            <v>佐藤 光</v>
          </cell>
        </row>
        <row r="285">
          <cell r="B285" t="str">
            <v>佐藤 仁啓</v>
          </cell>
        </row>
        <row r="286">
          <cell r="B286" t="str">
            <v>佐藤 美香</v>
          </cell>
        </row>
        <row r="287">
          <cell r="B287" t="str">
            <v>佐藤 友哉</v>
          </cell>
        </row>
        <row r="288">
          <cell r="B288" t="str">
            <v>佐藤 由美子</v>
          </cell>
        </row>
        <row r="289">
          <cell r="B289" t="str">
            <v>佐藤 佳子</v>
          </cell>
        </row>
        <row r="290">
          <cell r="B290" t="str">
            <v>塩原 貴紘</v>
          </cell>
        </row>
        <row r="291">
          <cell r="B291" t="str">
            <v>渋谷 拓美</v>
          </cell>
        </row>
        <row r="292">
          <cell r="B292" t="str">
            <v>島村 賢治</v>
          </cell>
        </row>
        <row r="293">
          <cell r="B293" t="str">
            <v>清水 雄介</v>
          </cell>
        </row>
        <row r="294">
          <cell r="B294" t="str">
            <v>主藤 伸司</v>
          </cell>
        </row>
        <row r="295">
          <cell r="B295" t="str">
            <v>首藤 弘樹</v>
          </cell>
        </row>
        <row r="296">
          <cell r="B296" t="str">
            <v>庄子 晃子</v>
          </cell>
        </row>
        <row r="297">
          <cell r="B297" t="str">
            <v>菅井 美幸</v>
          </cell>
        </row>
        <row r="298">
          <cell r="B298" t="str">
            <v>須貝 順子</v>
          </cell>
        </row>
        <row r="299">
          <cell r="B299" t="str">
            <v>須貝 美香</v>
          </cell>
        </row>
        <row r="300">
          <cell r="B300" t="str">
            <v>須賀 信</v>
          </cell>
        </row>
        <row r="301">
          <cell r="B301" t="str">
            <v>菅原 徹</v>
          </cell>
        </row>
        <row r="302">
          <cell r="B302" t="str">
            <v>菅原 龍介</v>
          </cell>
        </row>
        <row r="303">
          <cell r="B303" t="str">
            <v>杉林 あかね</v>
          </cell>
        </row>
        <row r="304">
          <cell r="B304" t="str">
            <v>杉原 裕</v>
          </cell>
        </row>
        <row r="305">
          <cell r="B305" t="str">
            <v>杉村 育子</v>
          </cell>
        </row>
        <row r="306">
          <cell r="B306" t="str">
            <v>杉山 浩一</v>
          </cell>
        </row>
        <row r="307">
          <cell r="B307" t="str">
            <v>杉山 奈津美</v>
          </cell>
        </row>
        <row r="308">
          <cell r="B308" t="str">
            <v>鈴木 啓子</v>
          </cell>
        </row>
        <row r="309">
          <cell r="B309" t="str">
            <v>鈴木 滋文</v>
          </cell>
        </row>
        <row r="310">
          <cell r="B310" t="str">
            <v>鈴木 智子</v>
          </cell>
        </row>
        <row r="311">
          <cell r="B311" t="str">
            <v>鈴木 晴巳</v>
          </cell>
        </row>
        <row r="312">
          <cell r="B312" t="str">
            <v>鈴木 美里</v>
          </cell>
        </row>
        <row r="313">
          <cell r="B313" t="str">
            <v>鈴木 光貴</v>
          </cell>
        </row>
        <row r="314">
          <cell r="B314" t="str">
            <v>鈴木 美恵</v>
          </cell>
        </row>
        <row r="315">
          <cell r="B315" t="str">
            <v>須藤 誠一</v>
          </cell>
        </row>
        <row r="316">
          <cell r="B316" t="str">
            <v>須藤 菜美</v>
          </cell>
        </row>
        <row r="317">
          <cell r="B317" t="str">
            <v>住田 興二郎</v>
          </cell>
        </row>
        <row r="318">
          <cell r="B318" t="str">
            <v>情野 恵里</v>
          </cell>
        </row>
        <row r="319">
          <cell r="B319" t="str">
            <v>仙北谷 由美</v>
          </cell>
        </row>
        <row r="320">
          <cell r="B320" t="str">
            <v>髙司 豊</v>
          </cell>
        </row>
        <row r="321">
          <cell r="B321" t="str">
            <v>高瀬 広之</v>
          </cell>
        </row>
        <row r="322">
          <cell r="B322" t="str">
            <v>高谷 一磨</v>
          </cell>
        </row>
        <row r="323">
          <cell r="B323" t="str">
            <v>髙野 朋</v>
          </cell>
        </row>
        <row r="324">
          <cell r="B324" t="str">
            <v>高橋 絵里子</v>
          </cell>
        </row>
        <row r="325">
          <cell r="B325" t="str">
            <v>高橋 翔人</v>
          </cell>
        </row>
        <row r="326">
          <cell r="B326" t="str">
            <v>髙橋 奈緒美</v>
          </cell>
        </row>
        <row r="327">
          <cell r="B327" t="str">
            <v>高橋 美和</v>
          </cell>
        </row>
        <row r="328">
          <cell r="B328" t="str">
            <v>高橋 和弘</v>
          </cell>
        </row>
        <row r="329">
          <cell r="B329" t="str">
            <v>高橋 沙織</v>
          </cell>
        </row>
        <row r="330">
          <cell r="B330" t="str">
            <v>髙橋 敏之</v>
          </cell>
        </row>
        <row r="331">
          <cell r="B331" t="str">
            <v>高橋 宣雅</v>
          </cell>
        </row>
        <row r="332">
          <cell r="B332" t="str">
            <v>高橋 浩</v>
          </cell>
        </row>
        <row r="333">
          <cell r="B333" t="str">
            <v>高橋 誠</v>
          </cell>
        </row>
        <row r="334">
          <cell r="B334" t="str">
            <v>高橋 美由紀</v>
          </cell>
        </row>
        <row r="335">
          <cell r="B335" t="str">
            <v>高見 あずさ</v>
          </cell>
        </row>
        <row r="336">
          <cell r="B336" t="str">
            <v>武末 城司</v>
          </cell>
        </row>
        <row r="337">
          <cell r="B337" t="str">
            <v>田澤 英彦</v>
          </cell>
        </row>
        <row r="338">
          <cell r="B338" t="str">
            <v>多田 由佳</v>
          </cell>
        </row>
        <row r="339">
          <cell r="B339" t="str">
            <v>立花 圭</v>
          </cell>
        </row>
        <row r="340">
          <cell r="B340" t="str">
            <v>田中 克季</v>
          </cell>
        </row>
        <row r="341">
          <cell r="B341" t="str">
            <v>田中 伸幸</v>
          </cell>
        </row>
        <row r="342">
          <cell r="B342" t="str">
            <v>田中 佑</v>
          </cell>
        </row>
        <row r="343">
          <cell r="B343" t="str">
            <v>棚橋 里子</v>
          </cell>
        </row>
        <row r="344">
          <cell r="B344" t="str">
            <v>谷口 和正</v>
          </cell>
        </row>
        <row r="345">
          <cell r="B345" t="str">
            <v>田野 卓也</v>
          </cell>
        </row>
        <row r="346">
          <cell r="B346" t="str">
            <v>田林 滋夫</v>
          </cell>
        </row>
        <row r="347">
          <cell r="B347" t="str">
            <v>田渕 大貴</v>
          </cell>
        </row>
        <row r="348">
          <cell r="B348" t="str">
            <v>田丸 貴行</v>
          </cell>
        </row>
        <row r="349">
          <cell r="B349" t="str">
            <v>田宮 由惟</v>
          </cell>
        </row>
        <row r="350">
          <cell r="B350" t="str">
            <v>田村 公彦</v>
          </cell>
        </row>
        <row r="351">
          <cell r="B351" t="str">
            <v>田村 淳</v>
          </cell>
        </row>
        <row r="352">
          <cell r="B352" t="str">
            <v>田村 秀樹</v>
          </cell>
        </row>
        <row r="353">
          <cell r="B353" t="str">
            <v>俵 慶明</v>
          </cell>
        </row>
        <row r="354">
          <cell r="B354" t="str">
            <v>中鉢 憲子</v>
          </cell>
        </row>
        <row r="355">
          <cell r="B355" t="str">
            <v>張 彪</v>
          </cell>
        </row>
        <row r="356">
          <cell r="B356" t="str">
            <v>塚田 一久</v>
          </cell>
        </row>
        <row r="357">
          <cell r="B357" t="str">
            <v>塚本 直彦</v>
          </cell>
        </row>
        <row r="358">
          <cell r="B358" t="str">
            <v>對馬 武志</v>
          </cell>
        </row>
        <row r="359">
          <cell r="B359" t="str">
            <v>土取 毅</v>
          </cell>
        </row>
        <row r="360">
          <cell r="B360" t="str">
            <v>土屋 学</v>
          </cell>
        </row>
        <row r="361">
          <cell r="B361" t="str">
            <v>堤 勇介</v>
          </cell>
        </row>
        <row r="362">
          <cell r="B362" t="str">
            <v>椿 一秋</v>
          </cell>
        </row>
        <row r="363">
          <cell r="B363" t="str">
            <v>寺田 圭介</v>
          </cell>
        </row>
        <row r="364">
          <cell r="B364" t="str">
            <v>土居 帝</v>
          </cell>
        </row>
        <row r="365">
          <cell r="B365" t="str">
            <v>通山 敬久</v>
          </cell>
        </row>
        <row r="366">
          <cell r="B366" t="str">
            <v>徳永 征一</v>
          </cell>
        </row>
        <row r="367">
          <cell r="B367" t="str">
            <v>徳原 亜紀</v>
          </cell>
        </row>
        <row r="368">
          <cell r="B368" t="str">
            <v>徳丸 光</v>
          </cell>
        </row>
        <row r="369">
          <cell r="B369" t="str">
            <v>冨松 里美</v>
          </cell>
        </row>
        <row r="370">
          <cell r="B370" t="str">
            <v>長尾 晶子</v>
          </cell>
        </row>
        <row r="371">
          <cell r="B371" t="str">
            <v>長岡 健生</v>
          </cell>
        </row>
        <row r="372">
          <cell r="B372" t="str">
            <v>中川 真弓</v>
          </cell>
        </row>
        <row r="373">
          <cell r="B373" t="str">
            <v>中川 祥太</v>
          </cell>
        </row>
        <row r="374">
          <cell r="B374" t="str">
            <v>中川 智一</v>
          </cell>
        </row>
        <row r="375">
          <cell r="B375" t="str">
            <v>長澤 明子</v>
          </cell>
        </row>
        <row r="376">
          <cell r="B376" t="str">
            <v>中島 みどり</v>
          </cell>
        </row>
        <row r="377">
          <cell r="B377" t="str">
            <v>長沼 奈緒子</v>
          </cell>
        </row>
        <row r="378">
          <cell r="B378" t="str">
            <v>中原 和雄</v>
          </cell>
        </row>
        <row r="379">
          <cell r="B379" t="str">
            <v>那須 敦子</v>
          </cell>
        </row>
        <row r="380">
          <cell r="B380" t="str">
            <v>新関 伸太郎</v>
          </cell>
        </row>
        <row r="381">
          <cell r="B381" t="str">
            <v>西久保 圭吾</v>
          </cell>
        </row>
        <row r="382">
          <cell r="B382" t="str">
            <v>西嶋 江美</v>
          </cell>
        </row>
        <row r="383">
          <cell r="B383" t="str">
            <v>西塚 弘貴</v>
          </cell>
        </row>
        <row r="384">
          <cell r="B384" t="str">
            <v>西橋 康介</v>
          </cell>
        </row>
        <row r="385">
          <cell r="B385" t="str">
            <v>二宮 和也</v>
          </cell>
        </row>
        <row r="386">
          <cell r="B386" t="str">
            <v>仁保 淳</v>
          </cell>
        </row>
        <row r="387">
          <cell r="B387" t="str">
            <v>温井 康人</v>
          </cell>
        </row>
        <row r="388">
          <cell r="B388" t="str">
            <v>根木 琢都</v>
          </cell>
        </row>
        <row r="389">
          <cell r="B389" t="str">
            <v>野口 照之</v>
          </cell>
        </row>
        <row r="390">
          <cell r="B390" t="str">
            <v>野呂 隆士</v>
          </cell>
        </row>
        <row r="391">
          <cell r="B391" t="str">
            <v>羽咋 宏晃</v>
          </cell>
        </row>
        <row r="392">
          <cell r="B392" t="str">
            <v>橋本 朋世</v>
          </cell>
        </row>
        <row r="393">
          <cell r="B393" t="str">
            <v>長谷川 由希</v>
          </cell>
        </row>
        <row r="394">
          <cell r="B394" t="str">
            <v>長谷川 吾郎</v>
          </cell>
        </row>
        <row r="395">
          <cell r="B395" t="str">
            <v>長谷部 友紀</v>
          </cell>
        </row>
        <row r="396">
          <cell r="B396" t="str">
            <v>浜口 倫通</v>
          </cell>
        </row>
        <row r="397">
          <cell r="B397" t="str">
            <v>濱田 真美加</v>
          </cell>
        </row>
        <row r="398">
          <cell r="B398" t="str">
            <v>早坂 祐哉</v>
          </cell>
        </row>
        <row r="399">
          <cell r="B399" t="str">
            <v>林 悟史</v>
          </cell>
        </row>
        <row r="400">
          <cell r="B400" t="str">
            <v>林 千晶</v>
          </cell>
        </row>
        <row r="401">
          <cell r="B401" t="str">
            <v>林 寛之</v>
          </cell>
        </row>
        <row r="402">
          <cell r="B402" t="str">
            <v>林 裕太郎</v>
          </cell>
        </row>
        <row r="403">
          <cell r="B403" t="str">
            <v>原 君雄</v>
          </cell>
        </row>
        <row r="404">
          <cell r="B404" t="str">
            <v>原田 和人</v>
          </cell>
        </row>
        <row r="405">
          <cell r="B405" t="str">
            <v>原 祥彦</v>
          </cell>
        </row>
        <row r="406">
          <cell r="B406" t="str">
            <v>平井 恵子</v>
          </cell>
        </row>
        <row r="407">
          <cell r="B407" t="str">
            <v>平田 聡美</v>
          </cell>
        </row>
        <row r="408">
          <cell r="B408" t="str">
            <v>平谷 晋</v>
          </cell>
        </row>
        <row r="409">
          <cell r="B409" t="str">
            <v>平田 由希子</v>
          </cell>
        </row>
        <row r="410">
          <cell r="B410" t="str">
            <v>平間 隆一</v>
          </cell>
        </row>
        <row r="411">
          <cell r="B411" t="str">
            <v>晝間 健史</v>
          </cell>
        </row>
        <row r="412">
          <cell r="B412" t="str">
            <v>広瀬 純平</v>
          </cell>
        </row>
        <row r="413">
          <cell r="B413" t="str">
            <v>廣田 信昭</v>
          </cell>
        </row>
        <row r="414">
          <cell r="B414" t="str">
            <v>福島 貴司</v>
          </cell>
        </row>
        <row r="415">
          <cell r="B415" t="str">
            <v>舟腰 歩美</v>
          </cell>
        </row>
        <row r="416">
          <cell r="B416" t="str">
            <v>古屋 勇輝</v>
          </cell>
        </row>
        <row r="417">
          <cell r="B417" t="str">
            <v>外尾 治</v>
          </cell>
        </row>
        <row r="418">
          <cell r="B418" t="str">
            <v>細川 裕子</v>
          </cell>
        </row>
        <row r="419">
          <cell r="B419" t="str">
            <v>本田 恵美</v>
          </cell>
        </row>
        <row r="420">
          <cell r="B420" t="str">
            <v>本間 智明</v>
          </cell>
        </row>
        <row r="421">
          <cell r="B421" t="str">
            <v>本間 優子</v>
          </cell>
        </row>
        <row r="422">
          <cell r="B422" t="str">
            <v>前原 貴宏</v>
          </cell>
        </row>
        <row r="423">
          <cell r="B423" t="str">
            <v>牧野 慎太郎</v>
          </cell>
        </row>
        <row r="424">
          <cell r="B424" t="str">
            <v>増子 孝志</v>
          </cell>
        </row>
        <row r="425">
          <cell r="B425" t="str">
            <v>増渕 隆史</v>
          </cell>
        </row>
        <row r="426">
          <cell r="B426" t="str">
            <v>松浦 弘昭</v>
          </cell>
        </row>
        <row r="427">
          <cell r="B427" t="str">
            <v>松岡 一江</v>
          </cell>
        </row>
        <row r="428">
          <cell r="B428" t="str">
            <v>松岡 芳典</v>
          </cell>
        </row>
        <row r="429">
          <cell r="B429" t="str">
            <v>松川 美代子</v>
          </cell>
        </row>
        <row r="430">
          <cell r="B430" t="str">
            <v>松田 慶子</v>
          </cell>
        </row>
        <row r="431">
          <cell r="B431" t="str">
            <v>松山 幸浩</v>
          </cell>
        </row>
        <row r="432">
          <cell r="B432" t="str">
            <v>丸森 亮平</v>
          </cell>
        </row>
        <row r="433">
          <cell r="B433" t="str">
            <v>三上 麻里</v>
          </cell>
        </row>
        <row r="434">
          <cell r="B434" t="str">
            <v>水田 剛</v>
          </cell>
        </row>
        <row r="435">
          <cell r="B435" t="str">
            <v>水野 里美</v>
          </cell>
        </row>
        <row r="436">
          <cell r="B436" t="str">
            <v>溝上 大介</v>
          </cell>
        </row>
        <row r="437">
          <cell r="B437" t="str">
            <v>三岳 和彦</v>
          </cell>
        </row>
        <row r="438">
          <cell r="B438" t="str">
            <v>三縄 ゆかり</v>
          </cell>
        </row>
        <row r="439">
          <cell r="B439" t="str">
            <v>三宅 忍</v>
          </cell>
        </row>
        <row r="440">
          <cell r="B440" t="str">
            <v>宮崎 めぐみ</v>
          </cell>
        </row>
        <row r="441">
          <cell r="B441" t="str">
            <v>宮原 朱美</v>
          </cell>
        </row>
        <row r="442">
          <cell r="B442" t="str">
            <v>明星 尚</v>
          </cell>
        </row>
        <row r="443">
          <cell r="B443" t="str">
            <v>向田 寛美</v>
          </cell>
        </row>
        <row r="444">
          <cell r="B444" t="str">
            <v>宗片 将征</v>
          </cell>
        </row>
        <row r="445">
          <cell r="B445" t="str">
            <v>村田 俊太郎</v>
          </cell>
        </row>
        <row r="446">
          <cell r="B446" t="str">
            <v>村浪 智穂</v>
          </cell>
        </row>
        <row r="447">
          <cell r="B447" t="str">
            <v>望月 沙依子</v>
          </cell>
        </row>
        <row r="448">
          <cell r="B448" t="str">
            <v>森川 寛康</v>
          </cell>
        </row>
        <row r="449">
          <cell r="B449" t="str">
            <v>森本 哲也</v>
          </cell>
        </row>
        <row r="450">
          <cell r="B450" t="str">
            <v>諸冨 誠</v>
          </cell>
        </row>
        <row r="451">
          <cell r="B451" t="str">
            <v>八木 岬</v>
          </cell>
        </row>
        <row r="452">
          <cell r="B452" t="str">
            <v>八島 史房</v>
          </cell>
        </row>
        <row r="453">
          <cell r="B453" t="str">
            <v>保田 利幸</v>
          </cell>
        </row>
        <row r="454">
          <cell r="B454" t="str">
            <v>柳 宏樹</v>
          </cell>
        </row>
        <row r="455">
          <cell r="B455" t="str">
            <v>矢野 智康</v>
          </cell>
        </row>
        <row r="456">
          <cell r="B456" t="str">
            <v>山口 昌太</v>
          </cell>
        </row>
        <row r="457">
          <cell r="B457" t="str">
            <v>山口 晶太</v>
          </cell>
        </row>
        <row r="458">
          <cell r="B458" t="str">
            <v>山口 敏恵</v>
          </cell>
        </row>
        <row r="459">
          <cell r="B459" t="str">
            <v>山口 悦子</v>
          </cell>
        </row>
        <row r="460">
          <cell r="B460" t="str">
            <v>山口 里志</v>
          </cell>
        </row>
        <row r="461">
          <cell r="B461" t="str">
            <v>山口 孝弘</v>
          </cell>
        </row>
        <row r="462">
          <cell r="B462" t="str">
            <v>山崎 茜</v>
          </cell>
        </row>
        <row r="463">
          <cell r="B463" t="str">
            <v>山田 諭</v>
          </cell>
        </row>
        <row r="464">
          <cell r="B464" t="str">
            <v>山野 祐也</v>
          </cell>
        </row>
        <row r="465">
          <cell r="B465" t="str">
            <v>山畑 美雪</v>
          </cell>
        </row>
        <row r="466">
          <cell r="B466" t="str">
            <v>山本 久世</v>
          </cell>
        </row>
        <row r="467">
          <cell r="B467" t="str">
            <v>山田 渓介</v>
          </cell>
        </row>
        <row r="468">
          <cell r="B468" t="str">
            <v>横澤 英和</v>
          </cell>
        </row>
        <row r="469">
          <cell r="B469" t="str">
            <v>吉岡 一香</v>
          </cell>
        </row>
        <row r="470">
          <cell r="B470" t="str">
            <v>吉田 桂子</v>
          </cell>
        </row>
        <row r="471">
          <cell r="B471" t="str">
            <v>吉田 麻希子</v>
          </cell>
        </row>
        <row r="472">
          <cell r="B472" t="str">
            <v>吉田 正秀</v>
          </cell>
        </row>
        <row r="473">
          <cell r="B473" t="str">
            <v>吉田 和歌子</v>
          </cell>
        </row>
        <row r="474">
          <cell r="B474" t="str">
            <v>吉田 旭</v>
          </cell>
        </row>
        <row r="475">
          <cell r="B475" t="str">
            <v>吉田 慎一</v>
          </cell>
        </row>
        <row r="476">
          <cell r="B476" t="str">
            <v>吉田 亨</v>
          </cell>
        </row>
        <row r="477">
          <cell r="B477" t="str">
            <v>吉田 雅士</v>
          </cell>
        </row>
        <row r="478">
          <cell r="B478" t="str">
            <v>芳松 稔晃</v>
          </cell>
        </row>
        <row r="479">
          <cell r="B479" t="str">
            <v>吉村 真紀子</v>
          </cell>
        </row>
        <row r="480">
          <cell r="B480" t="str">
            <v>和田 浩一</v>
          </cell>
        </row>
        <row r="481">
          <cell r="B481" t="str">
            <v>和田 康成</v>
          </cell>
        </row>
        <row r="482">
          <cell r="B482" t="str">
            <v>渡瀬 英記</v>
          </cell>
        </row>
        <row r="483">
          <cell r="B483" t="str">
            <v>渡辺 茜</v>
          </cell>
        </row>
        <row r="484">
          <cell r="B484" t="str">
            <v>渡邉 悟</v>
          </cell>
        </row>
        <row r="485">
          <cell r="B485" t="str">
            <v>渡辺 直洋</v>
          </cell>
        </row>
        <row r="486">
          <cell r="B486" t="str">
            <v>渡邊 博史</v>
          </cell>
        </row>
        <row r="487">
          <cell r="B487" t="str">
            <v>渡部 麻衣</v>
          </cell>
        </row>
        <row r="488">
          <cell r="B488" t="str">
            <v>渡邉 彩</v>
          </cell>
        </row>
        <row r="489">
          <cell r="B489" t="str">
            <v>渡邉 庸平</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2A0000" mc:Ignorable="a14" a14:legacySpreadsheetColorIndex="42"/>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2A0000" mc:Ignorable="a14" a14:legacySpreadsheetColorIndex="42"/>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J40"/>
  <sheetViews>
    <sheetView showGridLines="0" tabSelected="1" zoomScale="80" zoomScaleNormal="80" workbookViewId="0"/>
  </sheetViews>
  <sheetFormatPr defaultRowHeight="18.75"/>
  <cols>
    <col min="1" max="1" width="7.625" style="18" bestFit="1" customWidth="1"/>
    <col min="2" max="2" width="14.5" style="18" customWidth="1"/>
    <col min="3" max="3" width="16.75" style="18" customWidth="1"/>
    <col min="4" max="4" width="31.75" style="18" customWidth="1"/>
    <col min="5" max="5" width="30" style="18" customWidth="1"/>
    <col min="6" max="10" width="8.625" style="18" customWidth="1"/>
    <col min="11" max="11" width="7.625" style="18" bestFit="1" customWidth="1"/>
    <col min="12" max="12" width="6" style="18" bestFit="1" customWidth="1"/>
    <col min="13" max="13" width="20.625" style="62" bestFit="1" customWidth="1"/>
    <col min="14" max="14" width="46.625" style="18" customWidth="1"/>
    <col min="15" max="15" width="38" style="19" customWidth="1"/>
    <col min="16" max="16" width="13.375" style="18" bestFit="1" customWidth="1"/>
    <col min="17" max="17" width="11.625" style="18" bestFit="1" customWidth="1"/>
    <col min="18" max="18" width="15.625" style="20" customWidth="1"/>
    <col min="19" max="19" width="30.625" style="129" customWidth="1"/>
    <col min="20" max="20" width="11.375" style="35" customWidth="1"/>
    <col min="21" max="21" width="11.375" style="31" customWidth="1"/>
    <col min="22" max="22" width="11.375" style="18" customWidth="1"/>
    <col min="23" max="23" width="3.375" style="18" customWidth="1"/>
    <col min="24" max="28" width="10.625" style="18" customWidth="1"/>
    <col min="29" max="29" width="9.375" style="18" bestFit="1" customWidth="1"/>
    <col min="30" max="16384" width="9" style="18"/>
  </cols>
  <sheetData>
    <row r="1" spans="1:36" ht="9.9499999999999993" customHeight="1">
      <c r="R1" s="103"/>
    </row>
    <row r="2" spans="1:36" ht="39.950000000000003" customHeight="1">
      <c r="H2" s="264" t="s">
        <v>0</v>
      </c>
      <c r="I2" s="264"/>
      <c r="J2" s="264"/>
      <c r="R2" s="103"/>
    </row>
    <row r="3" spans="1:36" ht="5.0999999999999996" customHeight="1">
      <c r="R3" s="103"/>
    </row>
    <row r="4" spans="1:36" ht="29.25" thickBot="1">
      <c r="E4" s="76" t="s">
        <v>1</v>
      </c>
      <c r="R4" s="103"/>
    </row>
    <row r="5" spans="1:36" ht="24.75" customHeight="1" thickBot="1">
      <c r="A5" s="119" t="s">
        <v>2</v>
      </c>
      <c r="B5" s="265" t="s">
        <v>225</v>
      </c>
      <c r="C5" s="266"/>
      <c r="D5" s="210"/>
      <c r="L5" s="15"/>
      <c r="M5" s="15"/>
      <c r="R5" s="103"/>
      <c r="T5" s="38"/>
      <c r="U5" s="38"/>
    </row>
    <row r="6" spans="1:36">
      <c r="A6" s="19"/>
      <c r="B6" s="32"/>
      <c r="C6" s="116" t="s">
        <v>3</v>
      </c>
      <c r="E6" s="91"/>
      <c r="F6" s="116" t="s">
        <v>4</v>
      </c>
      <c r="G6" s="95"/>
      <c r="H6" s="92"/>
      <c r="I6" s="92"/>
      <c r="J6" s="92"/>
      <c r="K6" s="92"/>
      <c r="L6" s="92"/>
      <c r="M6" s="92"/>
      <c r="N6" s="92"/>
      <c r="O6" s="99"/>
      <c r="P6" s="99"/>
      <c r="Q6" s="99"/>
      <c r="R6" s="103"/>
      <c r="U6" s="37"/>
      <c r="V6" s="39"/>
    </row>
    <row r="7" spans="1:36">
      <c r="A7" s="267" t="s">
        <v>5</v>
      </c>
      <c r="B7" s="268"/>
      <c r="C7" s="130">
        <v>1</v>
      </c>
      <c r="D7" s="63" t="s">
        <v>6</v>
      </c>
      <c r="E7" s="269" t="s">
        <v>7</v>
      </c>
      <c r="F7" s="269"/>
      <c r="G7" s="269"/>
      <c r="H7" s="269"/>
      <c r="I7" s="269"/>
      <c r="J7" s="269"/>
      <c r="K7" s="269"/>
      <c r="L7" s="269"/>
      <c r="M7" s="269"/>
      <c r="N7" s="269"/>
      <c r="O7" s="209"/>
      <c r="R7" s="103"/>
      <c r="T7" s="132"/>
      <c r="U7" s="36"/>
      <c r="X7" s="131"/>
    </row>
    <row r="8" spans="1:36">
      <c r="A8" s="262" t="s">
        <v>8</v>
      </c>
      <c r="B8" s="263"/>
      <c r="C8" s="34"/>
      <c r="D8" s="108" t="s">
        <v>9</v>
      </c>
      <c r="E8" s="270" t="s">
        <v>10</v>
      </c>
      <c r="F8" s="271"/>
      <c r="G8" s="271"/>
      <c r="H8" s="271"/>
      <c r="I8" s="271"/>
      <c r="J8" s="271"/>
      <c r="K8" s="271"/>
      <c r="L8" s="271"/>
      <c r="M8" s="271"/>
      <c r="N8" s="271"/>
      <c r="O8" s="272"/>
      <c r="P8" s="100"/>
      <c r="Q8" s="100"/>
      <c r="R8" s="103"/>
      <c r="T8" s="36"/>
      <c r="U8" s="36"/>
      <c r="AI8" s="33"/>
      <c r="AJ8" s="33"/>
    </row>
    <row r="9" spans="1:36">
      <c r="A9" s="21" t="s">
        <v>11</v>
      </c>
      <c r="B9" s="43" t="s">
        <v>12</v>
      </c>
      <c r="C9" s="43" t="s">
        <v>13</v>
      </c>
      <c r="D9" s="42" t="s">
        <v>14</v>
      </c>
      <c r="E9" s="53" t="s">
        <v>15</v>
      </c>
      <c r="F9" s="22">
        <v>1</v>
      </c>
      <c r="G9" s="22">
        <v>2</v>
      </c>
      <c r="H9" s="22">
        <v>3</v>
      </c>
      <c r="I9" s="22">
        <v>4</v>
      </c>
      <c r="J9" s="22">
        <v>5</v>
      </c>
      <c r="K9" s="40" t="s">
        <v>16</v>
      </c>
      <c r="L9" s="41" t="s">
        <v>17</v>
      </c>
      <c r="M9" s="59" t="s">
        <v>18</v>
      </c>
      <c r="N9" s="44" t="s">
        <v>19</v>
      </c>
      <c r="O9" s="42" t="s">
        <v>20</v>
      </c>
      <c r="P9" s="45" t="s">
        <v>21</v>
      </c>
      <c r="Q9" s="43" t="s">
        <v>22</v>
      </c>
      <c r="R9" s="127" t="s">
        <v>23</v>
      </c>
      <c r="S9" s="149" t="s">
        <v>24</v>
      </c>
      <c r="T9" s="259" t="s">
        <v>25</v>
      </c>
      <c r="U9" s="260"/>
      <c r="V9" s="261"/>
      <c r="W9" s="146"/>
      <c r="X9" s="147" t="s">
        <v>26</v>
      </c>
      <c r="Y9" s="147" t="s">
        <v>27</v>
      </c>
      <c r="Z9" s="147" t="s">
        <v>28</v>
      </c>
      <c r="AA9" s="147" t="s">
        <v>29</v>
      </c>
      <c r="AB9" s="147" t="s">
        <v>30</v>
      </c>
      <c r="AI9" s="23"/>
      <c r="AJ9" s="23"/>
    </row>
    <row r="10" spans="1:36" ht="39.950000000000003" customHeight="1">
      <c r="A10" s="16"/>
      <c r="B10" s="14"/>
      <c r="C10" s="14"/>
      <c r="D10" s="13"/>
      <c r="E10" s="105" t="s">
        <v>31</v>
      </c>
      <c r="F10" s="104"/>
      <c r="G10" s="104"/>
      <c r="H10" s="104"/>
      <c r="I10" s="104"/>
      <c r="J10" s="104"/>
      <c r="K10" s="13"/>
      <c r="L10" s="24"/>
      <c r="M10" s="124" t="s">
        <v>32</v>
      </c>
      <c r="N10" s="118" t="s">
        <v>33</v>
      </c>
      <c r="O10" s="117" t="s">
        <v>34</v>
      </c>
      <c r="P10" s="17"/>
      <c r="Q10" s="17"/>
      <c r="R10" s="128" t="s">
        <v>35</v>
      </c>
      <c r="S10" s="150" t="s">
        <v>36</v>
      </c>
      <c r="T10" s="156" t="s">
        <v>37</v>
      </c>
      <c r="U10" s="156" t="s">
        <v>38</v>
      </c>
      <c r="V10" s="157" t="s">
        <v>39</v>
      </c>
      <c r="W10" s="146"/>
      <c r="X10" s="148"/>
      <c r="Y10" s="148"/>
      <c r="Z10" s="148">
        <f>H10</f>
        <v>0</v>
      </c>
      <c r="AA10" s="148">
        <f>I10</f>
        <v>0</v>
      </c>
      <c r="AB10" s="148">
        <f>J10</f>
        <v>0</v>
      </c>
      <c r="AI10" s="23"/>
      <c r="AJ10" s="23"/>
    </row>
    <row r="11" spans="1:36">
      <c r="A11" s="25">
        <v>1</v>
      </c>
      <c r="B11" s="46"/>
      <c r="C11" s="46"/>
      <c r="D11" s="46"/>
      <c r="E11" s="46"/>
      <c r="F11" s="113"/>
      <c r="G11" s="113"/>
      <c r="H11" s="113"/>
      <c r="I11" s="113"/>
      <c r="J11" s="113"/>
      <c r="K11" s="50"/>
      <c r="L11" s="26"/>
      <c r="M11" s="60"/>
      <c r="N11" s="51"/>
      <c r="O11" s="52"/>
      <c r="P11" s="27"/>
      <c r="Q11" s="102"/>
      <c r="R11" s="125"/>
      <c r="S11" s="151"/>
      <c r="T11" s="154"/>
      <c r="U11" s="135"/>
      <c r="V11" s="136"/>
      <c r="X11" s="131"/>
      <c r="Y11" s="131"/>
      <c r="Z11" s="131"/>
      <c r="AA11" s="131"/>
      <c r="AB11" s="131"/>
      <c r="AD11" s="145"/>
      <c r="AE11" s="145"/>
      <c r="AF11" s="140"/>
      <c r="AG11" s="140"/>
      <c r="AH11" s="140"/>
      <c r="AI11" s="23"/>
      <c r="AJ11" s="33"/>
    </row>
    <row r="12" spans="1:36">
      <c r="A12" s="28">
        <f>A11+1</f>
        <v>2</v>
      </c>
      <c r="B12" s="47"/>
      <c r="C12" s="47"/>
      <c r="D12" s="47"/>
      <c r="E12" s="47"/>
      <c r="F12" s="114"/>
      <c r="G12" s="114"/>
      <c r="H12" s="114"/>
      <c r="I12" s="114"/>
      <c r="J12" s="114"/>
      <c r="K12" s="29"/>
      <c r="L12" s="29"/>
      <c r="M12" s="61"/>
      <c r="N12" s="48"/>
      <c r="O12" s="49"/>
      <c r="P12" s="30"/>
      <c r="Q12" s="101"/>
      <c r="R12" s="126"/>
      <c r="S12" s="152"/>
      <c r="T12" s="155"/>
      <c r="U12" s="137"/>
      <c r="V12" s="138"/>
      <c r="X12" s="131"/>
      <c r="Y12" s="131"/>
      <c r="Z12" s="131"/>
      <c r="AA12" s="131"/>
      <c r="AB12" s="131"/>
      <c r="AI12" s="23"/>
      <c r="AJ12" s="33"/>
    </row>
    <row r="13" spans="1:36">
      <c r="A13" s="28">
        <f t="shared" ref="A13:A40" si="0">A12+1</f>
        <v>3</v>
      </c>
      <c r="B13" s="47"/>
      <c r="C13" s="47"/>
      <c r="D13" s="47"/>
      <c r="E13" s="47"/>
      <c r="F13" s="114"/>
      <c r="G13" s="114"/>
      <c r="H13" s="114"/>
      <c r="I13" s="114"/>
      <c r="J13" s="114"/>
      <c r="K13" s="29"/>
      <c r="L13" s="29"/>
      <c r="M13" s="61"/>
      <c r="N13" s="48"/>
      <c r="O13" s="47"/>
      <c r="P13" s="30"/>
      <c r="Q13" s="101"/>
      <c r="R13" s="126"/>
      <c r="S13" s="152"/>
      <c r="T13" s="155"/>
      <c r="U13" s="137"/>
      <c r="V13" s="138"/>
      <c r="X13" s="131"/>
      <c r="Y13" s="131"/>
      <c r="Z13" s="131"/>
      <c r="AA13" s="131"/>
      <c r="AB13" s="131"/>
      <c r="AI13" s="23"/>
      <c r="AJ13" s="20"/>
    </row>
    <row r="14" spans="1:36">
      <c r="A14" s="28">
        <f>A13+1</f>
        <v>4</v>
      </c>
      <c r="B14" s="47"/>
      <c r="C14" s="47"/>
      <c r="D14" s="47"/>
      <c r="E14" s="47"/>
      <c r="F14" s="114"/>
      <c r="G14" s="114"/>
      <c r="H14" s="114"/>
      <c r="I14" s="114"/>
      <c r="J14" s="114"/>
      <c r="K14" s="29"/>
      <c r="L14" s="29"/>
      <c r="M14" s="61"/>
      <c r="N14" s="48"/>
      <c r="O14" s="49"/>
      <c r="P14" s="30"/>
      <c r="Q14" s="101"/>
      <c r="R14" s="126"/>
      <c r="S14" s="152"/>
      <c r="T14" s="155"/>
      <c r="U14" s="137"/>
      <c r="V14" s="138"/>
      <c r="X14" s="131"/>
      <c r="Y14" s="131"/>
      <c r="Z14" s="131"/>
      <c r="AA14" s="131"/>
      <c r="AB14" s="131"/>
      <c r="AI14" s="23"/>
      <c r="AJ14" s="33"/>
    </row>
    <row r="15" spans="1:36">
      <c r="A15" s="28">
        <f t="shared" si="0"/>
        <v>5</v>
      </c>
      <c r="B15" s="47"/>
      <c r="C15" s="47"/>
      <c r="D15" s="47"/>
      <c r="E15" s="47"/>
      <c r="F15" s="114"/>
      <c r="G15" s="114"/>
      <c r="H15" s="114"/>
      <c r="I15" s="114"/>
      <c r="J15" s="114"/>
      <c r="K15" s="29"/>
      <c r="L15" s="29"/>
      <c r="M15" s="61"/>
      <c r="N15" s="48"/>
      <c r="O15" s="47"/>
      <c r="P15" s="30"/>
      <c r="Q15" s="101"/>
      <c r="R15" s="126"/>
      <c r="S15" s="152"/>
      <c r="T15" s="155"/>
      <c r="U15" s="137"/>
      <c r="V15" s="138"/>
      <c r="X15" s="131"/>
      <c r="Y15" s="131"/>
      <c r="Z15" s="131"/>
      <c r="AA15" s="131"/>
      <c r="AB15" s="131"/>
    </row>
    <row r="16" spans="1:36">
      <c r="A16" s="28">
        <f t="shared" si="0"/>
        <v>6</v>
      </c>
      <c r="B16" s="47"/>
      <c r="C16" s="47"/>
      <c r="D16" s="47"/>
      <c r="E16" s="47"/>
      <c r="F16" s="114"/>
      <c r="G16" s="114"/>
      <c r="H16" s="114"/>
      <c r="I16" s="114"/>
      <c r="J16" s="114"/>
      <c r="K16" s="29"/>
      <c r="L16" s="29"/>
      <c r="M16" s="61"/>
      <c r="N16" s="48"/>
      <c r="O16" s="47"/>
      <c r="P16" s="30"/>
      <c r="Q16" s="101"/>
      <c r="R16" s="126"/>
      <c r="S16" s="152"/>
      <c r="T16" s="155"/>
      <c r="U16" s="137"/>
      <c r="V16" s="138"/>
      <c r="X16" s="131"/>
      <c r="Y16" s="131"/>
      <c r="Z16" s="131"/>
      <c r="AA16" s="131"/>
      <c r="AB16" s="131"/>
      <c r="AI16" s="23"/>
      <c r="AJ16" s="20"/>
    </row>
    <row r="17" spans="1:28">
      <c r="A17" s="28">
        <f t="shared" si="0"/>
        <v>7</v>
      </c>
      <c r="B17" s="47"/>
      <c r="C17" s="47"/>
      <c r="D17" s="47"/>
      <c r="E17" s="47"/>
      <c r="F17" s="114"/>
      <c r="G17" s="114"/>
      <c r="H17" s="114"/>
      <c r="I17" s="114"/>
      <c r="J17" s="114"/>
      <c r="K17" s="29"/>
      <c r="L17" s="29"/>
      <c r="M17" s="61"/>
      <c r="N17" s="48"/>
      <c r="O17" s="47"/>
      <c r="P17" s="30"/>
      <c r="Q17" s="101"/>
      <c r="R17" s="126"/>
      <c r="S17" s="152"/>
      <c r="T17" s="155"/>
      <c r="U17" s="137"/>
      <c r="V17" s="138"/>
      <c r="X17" s="131"/>
      <c r="Y17" s="131"/>
      <c r="Z17" s="131"/>
      <c r="AA17" s="131"/>
      <c r="AB17" s="131"/>
    </row>
    <row r="18" spans="1:28">
      <c r="A18" s="28">
        <f t="shared" si="0"/>
        <v>8</v>
      </c>
      <c r="B18" s="47"/>
      <c r="C18" s="47"/>
      <c r="D18" s="47"/>
      <c r="E18" s="47"/>
      <c r="F18" s="114"/>
      <c r="G18" s="114"/>
      <c r="H18" s="114"/>
      <c r="I18" s="114"/>
      <c r="J18" s="114"/>
      <c r="K18" s="29"/>
      <c r="L18" s="29"/>
      <c r="M18" s="61"/>
      <c r="N18" s="48"/>
      <c r="O18" s="47"/>
      <c r="P18" s="30"/>
      <c r="Q18" s="101"/>
      <c r="R18" s="126"/>
      <c r="S18" s="152"/>
      <c r="T18" s="155"/>
      <c r="U18" s="137"/>
      <c r="V18" s="138"/>
      <c r="X18" s="131"/>
      <c r="Y18" s="131"/>
      <c r="Z18" s="131"/>
      <c r="AA18" s="131"/>
      <c r="AB18" s="131"/>
    </row>
    <row r="19" spans="1:28">
      <c r="A19" s="28">
        <f t="shared" si="0"/>
        <v>9</v>
      </c>
      <c r="B19" s="47"/>
      <c r="C19" s="47"/>
      <c r="D19" s="47"/>
      <c r="E19" s="47"/>
      <c r="F19" s="114"/>
      <c r="G19" s="114"/>
      <c r="H19" s="114"/>
      <c r="I19" s="114"/>
      <c r="J19" s="114"/>
      <c r="K19" s="29"/>
      <c r="L19" s="29"/>
      <c r="M19" s="61"/>
      <c r="N19" s="48"/>
      <c r="O19" s="47"/>
      <c r="P19" s="30"/>
      <c r="Q19" s="101"/>
      <c r="R19" s="126"/>
      <c r="S19" s="152"/>
      <c r="T19" s="155"/>
      <c r="U19" s="137"/>
      <c r="V19" s="138"/>
      <c r="X19" s="131"/>
      <c r="Y19" s="131"/>
      <c r="Z19" s="131"/>
      <c r="AA19" s="131"/>
      <c r="AB19" s="131"/>
    </row>
    <row r="20" spans="1:28">
      <c r="A20" s="28">
        <f t="shared" si="0"/>
        <v>10</v>
      </c>
      <c r="B20" s="47"/>
      <c r="C20" s="47"/>
      <c r="D20" s="47"/>
      <c r="E20" s="47"/>
      <c r="F20" s="114"/>
      <c r="G20" s="114"/>
      <c r="H20" s="114"/>
      <c r="I20" s="114"/>
      <c r="J20" s="114"/>
      <c r="K20" s="29"/>
      <c r="L20" s="29"/>
      <c r="M20" s="61"/>
      <c r="N20" s="48"/>
      <c r="O20" s="47"/>
      <c r="P20" s="30"/>
      <c r="Q20" s="101"/>
      <c r="R20" s="126"/>
      <c r="S20" s="152"/>
      <c r="T20" s="155"/>
      <c r="U20" s="137"/>
      <c r="V20" s="138"/>
      <c r="X20" s="131"/>
      <c r="Y20" s="131"/>
      <c r="Z20" s="131"/>
      <c r="AA20" s="131"/>
      <c r="AB20" s="131"/>
    </row>
    <row r="21" spans="1:28">
      <c r="A21" s="28">
        <f t="shared" si="0"/>
        <v>11</v>
      </c>
      <c r="B21" s="47"/>
      <c r="C21" s="47"/>
      <c r="D21" s="47"/>
      <c r="E21" s="47"/>
      <c r="F21" s="114"/>
      <c r="G21" s="114"/>
      <c r="H21" s="114"/>
      <c r="I21" s="114"/>
      <c r="J21" s="114"/>
      <c r="K21" s="29"/>
      <c r="L21" s="29"/>
      <c r="M21" s="61"/>
      <c r="N21" s="48"/>
      <c r="O21" s="47"/>
      <c r="P21" s="30"/>
      <c r="Q21" s="101"/>
      <c r="R21" s="126"/>
      <c r="S21" s="153"/>
      <c r="T21" s="155"/>
      <c r="U21" s="137"/>
      <c r="V21" s="138"/>
      <c r="X21" s="131"/>
      <c r="Y21" s="131"/>
      <c r="Z21" s="131"/>
      <c r="AA21" s="131"/>
      <c r="AB21" s="131"/>
    </row>
    <row r="22" spans="1:28">
      <c r="A22" s="28">
        <f t="shared" si="0"/>
        <v>12</v>
      </c>
      <c r="B22" s="47"/>
      <c r="C22" s="47"/>
      <c r="D22" s="47"/>
      <c r="E22" s="47"/>
      <c r="F22" s="114"/>
      <c r="G22" s="114"/>
      <c r="H22" s="114"/>
      <c r="I22" s="114"/>
      <c r="J22" s="114"/>
      <c r="K22" s="29"/>
      <c r="L22" s="29"/>
      <c r="M22" s="61"/>
      <c r="N22" s="48"/>
      <c r="O22" s="47"/>
      <c r="P22" s="30"/>
      <c r="Q22" s="101"/>
      <c r="R22" s="126"/>
      <c r="S22" s="152"/>
      <c r="T22" s="155"/>
      <c r="U22" s="137"/>
      <c r="V22" s="138"/>
      <c r="X22" s="131"/>
      <c r="Y22" s="131"/>
      <c r="Z22" s="131"/>
      <c r="AA22" s="131"/>
      <c r="AB22" s="131"/>
    </row>
    <row r="23" spans="1:28">
      <c r="A23" s="28">
        <f t="shared" si="0"/>
        <v>13</v>
      </c>
      <c r="B23" s="47"/>
      <c r="C23" s="47"/>
      <c r="D23" s="47"/>
      <c r="E23" s="47"/>
      <c r="F23" s="114"/>
      <c r="G23" s="114"/>
      <c r="H23" s="114"/>
      <c r="I23" s="114"/>
      <c r="J23" s="114"/>
      <c r="K23" s="29"/>
      <c r="L23" s="29"/>
      <c r="M23" s="61"/>
      <c r="N23" s="48"/>
      <c r="O23" s="47"/>
      <c r="P23" s="30"/>
      <c r="Q23" s="101"/>
      <c r="R23" s="126"/>
      <c r="S23" s="152"/>
      <c r="T23" s="155"/>
      <c r="U23" s="137"/>
      <c r="V23" s="138"/>
      <c r="X23" s="131"/>
      <c r="Y23" s="131"/>
      <c r="Z23" s="131"/>
      <c r="AA23" s="131"/>
      <c r="AB23" s="131"/>
    </row>
    <row r="24" spans="1:28">
      <c r="A24" s="28">
        <f t="shared" si="0"/>
        <v>14</v>
      </c>
      <c r="B24" s="47"/>
      <c r="C24" s="47"/>
      <c r="D24" s="47"/>
      <c r="E24" s="47"/>
      <c r="F24" s="114"/>
      <c r="G24" s="114"/>
      <c r="H24" s="114"/>
      <c r="I24" s="114"/>
      <c r="J24" s="114"/>
      <c r="K24" s="29"/>
      <c r="L24" s="29"/>
      <c r="M24" s="61"/>
      <c r="N24" s="48"/>
      <c r="O24" s="47"/>
      <c r="P24" s="30"/>
      <c r="Q24" s="101"/>
      <c r="R24" s="126"/>
      <c r="S24" s="152"/>
      <c r="T24" s="155"/>
      <c r="U24" s="137"/>
      <c r="V24" s="138"/>
      <c r="X24" s="131"/>
      <c r="Y24" s="131"/>
      <c r="Z24" s="131"/>
      <c r="AA24" s="131"/>
      <c r="AB24" s="131"/>
    </row>
    <row r="25" spans="1:28">
      <c r="A25" s="28">
        <f t="shared" si="0"/>
        <v>15</v>
      </c>
      <c r="B25" s="47"/>
      <c r="C25" s="47"/>
      <c r="D25" s="47"/>
      <c r="E25" s="47"/>
      <c r="F25" s="114"/>
      <c r="G25" s="114"/>
      <c r="H25" s="114"/>
      <c r="I25" s="114"/>
      <c r="J25" s="114"/>
      <c r="K25" s="29"/>
      <c r="L25" s="29"/>
      <c r="M25" s="61"/>
      <c r="N25" s="48"/>
      <c r="O25" s="47"/>
      <c r="P25" s="30"/>
      <c r="Q25" s="101"/>
      <c r="R25" s="126"/>
      <c r="S25" s="152"/>
      <c r="T25" s="155"/>
      <c r="U25" s="137"/>
      <c r="V25" s="138"/>
      <c r="X25" s="131"/>
      <c r="Y25" s="131"/>
      <c r="Z25" s="131"/>
      <c r="AA25" s="131"/>
      <c r="AB25" s="131"/>
    </row>
    <row r="26" spans="1:28">
      <c r="A26" s="28">
        <f t="shared" si="0"/>
        <v>16</v>
      </c>
      <c r="B26" s="47"/>
      <c r="C26" s="47"/>
      <c r="D26" s="47"/>
      <c r="E26" s="47"/>
      <c r="F26" s="114"/>
      <c r="G26" s="114"/>
      <c r="H26" s="114"/>
      <c r="I26" s="114"/>
      <c r="J26" s="114"/>
      <c r="K26" s="29"/>
      <c r="L26" s="29"/>
      <c r="M26" s="61"/>
      <c r="N26" s="48"/>
      <c r="O26" s="47"/>
      <c r="P26" s="30"/>
      <c r="Q26" s="101"/>
      <c r="R26" s="126"/>
      <c r="S26" s="152"/>
      <c r="T26" s="155"/>
      <c r="U26" s="137"/>
      <c r="V26" s="138"/>
      <c r="X26" s="131"/>
      <c r="Y26" s="131"/>
      <c r="Z26" s="131"/>
      <c r="AA26" s="131"/>
      <c r="AB26" s="131"/>
    </row>
    <row r="27" spans="1:28">
      <c r="A27" s="28">
        <f t="shared" si="0"/>
        <v>17</v>
      </c>
      <c r="B27" s="47"/>
      <c r="C27" s="47"/>
      <c r="D27" s="47"/>
      <c r="E27" s="47"/>
      <c r="F27" s="114"/>
      <c r="G27" s="114"/>
      <c r="H27" s="114"/>
      <c r="I27" s="114"/>
      <c r="J27" s="114"/>
      <c r="K27" s="29"/>
      <c r="L27" s="29"/>
      <c r="M27" s="61"/>
      <c r="N27" s="48"/>
      <c r="O27" s="47"/>
      <c r="P27" s="30"/>
      <c r="Q27" s="101"/>
      <c r="R27" s="126"/>
      <c r="S27" s="152"/>
      <c r="T27" s="155"/>
      <c r="U27" s="137"/>
      <c r="V27" s="138"/>
      <c r="X27" s="131"/>
      <c r="Y27" s="131"/>
      <c r="Z27" s="131"/>
      <c r="AA27" s="131"/>
      <c r="AB27" s="131"/>
    </row>
    <row r="28" spans="1:28">
      <c r="A28" s="28">
        <f t="shared" si="0"/>
        <v>18</v>
      </c>
      <c r="B28" s="47"/>
      <c r="C28" s="47"/>
      <c r="D28" s="47"/>
      <c r="E28" s="47"/>
      <c r="F28" s="114"/>
      <c r="G28" s="114"/>
      <c r="H28" s="114"/>
      <c r="I28" s="114"/>
      <c r="J28" s="114"/>
      <c r="K28" s="29"/>
      <c r="L28" s="29"/>
      <c r="M28" s="61"/>
      <c r="N28" s="48"/>
      <c r="O28" s="47"/>
      <c r="P28" s="30"/>
      <c r="Q28" s="101"/>
      <c r="R28" s="126"/>
      <c r="S28" s="152"/>
      <c r="T28" s="155"/>
      <c r="U28" s="137"/>
      <c r="V28" s="138"/>
      <c r="X28" s="131"/>
      <c r="Y28" s="131"/>
      <c r="Z28" s="131"/>
      <c r="AA28" s="131"/>
      <c r="AB28" s="131"/>
    </row>
    <row r="29" spans="1:28">
      <c r="A29" s="28">
        <f t="shared" si="0"/>
        <v>19</v>
      </c>
      <c r="B29" s="47"/>
      <c r="C29" s="47"/>
      <c r="D29" s="47"/>
      <c r="E29" s="47"/>
      <c r="F29" s="114"/>
      <c r="G29" s="114"/>
      <c r="H29" s="114"/>
      <c r="I29" s="114"/>
      <c r="J29" s="114"/>
      <c r="K29" s="29"/>
      <c r="L29" s="29" t="s">
        <v>40</v>
      </c>
      <c r="M29" s="61"/>
      <c r="N29" s="48"/>
      <c r="O29" s="47"/>
      <c r="P29" s="30"/>
      <c r="Q29" s="101"/>
      <c r="R29" s="126"/>
      <c r="S29" s="152"/>
      <c r="T29" s="155"/>
      <c r="U29" s="137"/>
      <c r="V29" s="138"/>
      <c r="X29" s="131"/>
      <c r="Y29" s="131"/>
      <c r="Z29" s="131"/>
      <c r="AA29" s="131"/>
      <c r="AB29" s="131"/>
    </row>
    <row r="30" spans="1:28">
      <c r="A30" s="28">
        <f t="shared" si="0"/>
        <v>20</v>
      </c>
      <c r="B30" s="47"/>
      <c r="C30" s="47"/>
      <c r="D30" s="47"/>
      <c r="E30" s="47"/>
      <c r="F30" s="114"/>
      <c r="G30" s="114"/>
      <c r="H30" s="114"/>
      <c r="I30" s="114"/>
      <c r="J30" s="114"/>
      <c r="K30" s="29"/>
      <c r="L30" s="29" t="s">
        <v>40</v>
      </c>
      <c r="M30" s="61"/>
      <c r="N30" s="48"/>
      <c r="O30" s="47"/>
      <c r="P30" s="30"/>
      <c r="Q30" s="101"/>
      <c r="R30" s="126"/>
      <c r="S30" s="152"/>
      <c r="T30" s="155"/>
      <c r="U30" s="137"/>
      <c r="V30" s="138"/>
      <c r="X30" s="131"/>
      <c r="Y30" s="131"/>
      <c r="Z30" s="131"/>
      <c r="AA30" s="131"/>
      <c r="AB30" s="131"/>
    </row>
    <row r="31" spans="1:28">
      <c r="A31" s="28">
        <f t="shared" si="0"/>
        <v>21</v>
      </c>
      <c r="B31" s="47"/>
      <c r="C31" s="47"/>
      <c r="D31" s="47"/>
      <c r="E31" s="47"/>
      <c r="F31" s="114"/>
      <c r="G31" s="114"/>
      <c r="H31" s="114"/>
      <c r="I31" s="114"/>
      <c r="J31" s="114"/>
      <c r="K31" s="29"/>
      <c r="L31" s="29" t="s">
        <v>40</v>
      </c>
      <c r="M31" s="61"/>
      <c r="N31" s="48"/>
      <c r="O31" s="47"/>
      <c r="P31" s="30"/>
      <c r="Q31" s="101"/>
      <c r="R31" s="126"/>
      <c r="S31" s="152"/>
      <c r="T31" s="155"/>
      <c r="U31" s="137"/>
      <c r="V31" s="138"/>
      <c r="X31" s="131"/>
      <c r="Y31" s="131"/>
      <c r="Z31" s="131"/>
      <c r="AA31" s="131"/>
      <c r="AB31" s="131"/>
    </row>
    <row r="32" spans="1:28">
      <c r="A32" s="28">
        <f t="shared" si="0"/>
        <v>22</v>
      </c>
      <c r="B32" s="47"/>
      <c r="C32" s="47"/>
      <c r="D32" s="47"/>
      <c r="E32" s="47"/>
      <c r="F32" s="114"/>
      <c r="G32" s="114"/>
      <c r="H32" s="114"/>
      <c r="I32" s="114"/>
      <c r="J32" s="114"/>
      <c r="K32" s="29"/>
      <c r="L32" s="29" t="s">
        <v>40</v>
      </c>
      <c r="M32" s="61"/>
      <c r="N32" s="48"/>
      <c r="O32" s="47"/>
      <c r="P32" s="30"/>
      <c r="Q32" s="101"/>
      <c r="R32" s="126"/>
      <c r="S32" s="152"/>
      <c r="T32" s="155"/>
      <c r="U32" s="137"/>
      <c r="V32" s="138"/>
      <c r="X32" s="131"/>
      <c r="Y32" s="131"/>
      <c r="Z32" s="131"/>
      <c r="AA32" s="131"/>
      <c r="AB32" s="131"/>
    </row>
    <row r="33" spans="1:28">
      <c r="A33" s="28">
        <f t="shared" si="0"/>
        <v>23</v>
      </c>
      <c r="B33" s="47"/>
      <c r="C33" s="47"/>
      <c r="D33" s="47"/>
      <c r="E33" s="47"/>
      <c r="F33" s="114"/>
      <c r="G33" s="114"/>
      <c r="H33" s="114"/>
      <c r="I33" s="114"/>
      <c r="J33" s="114"/>
      <c r="K33" s="29"/>
      <c r="L33" s="29" t="s">
        <v>40</v>
      </c>
      <c r="M33" s="61"/>
      <c r="N33" s="48"/>
      <c r="O33" s="47"/>
      <c r="P33" s="30"/>
      <c r="Q33" s="101"/>
      <c r="R33" s="126"/>
      <c r="S33" s="152"/>
      <c r="T33" s="155"/>
      <c r="U33" s="137"/>
      <c r="V33" s="138"/>
      <c r="X33" s="131"/>
      <c r="Y33" s="131"/>
      <c r="Z33" s="131"/>
      <c r="AA33" s="131"/>
      <c r="AB33" s="131"/>
    </row>
    <row r="34" spans="1:28">
      <c r="A34" s="28">
        <f t="shared" si="0"/>
        <v>24</v>
      </c>
      <c r="B34" s="47"/>
      <c r="C34" s="47"/>
      <c r="D34" s="47"/>
      <c r="E34" s="47"/>
      <c r="F34" s="114"/>
      <c r="G34" s="114"/>
      <c r="H34" s="114"/>
      <c r="I34" s="114"/>
      <c r="J34" s="114"/>
      <c r="K34" s="29"/>
      <c r="L34" s="29" t="s">
        <v>40</v>
      </c>
      <c r="M34" s="61"/>
      <c r="N34" s="48"/>
      <c r="O34" s="47"/>
      <c r="P34" s="30"/>
      <c r="Q34" s="101"/>
      <c r="R34" s="126"/>
      <c r="S34" s="152"/>
      <c r="T34" s="155"/>
      <c r="U34" s="137"/>
      <c r="V34" s="138"/>
      <c r="X34" s="131"/>
      <c r="Y34" s="131"/>
      <c r="Z34" s="131"/>
      <c r="AA34" s="131"/>
      <c r="AB34" s="131"/>
    </row>
    <row r="35" spans="1:28">
      <c r="A35" s="28">
        <f t="shared" si="0"/>
        <v>25</v>
      </c>
      <c r="B35" s="47"/>
      <c r="C35" s="47"/>
      <c r="D35" s="47"/>
      <c r="E35" s="47"/>
      <c r="F35" s="114"/>
      <c r="G35" s="114"/>
      <c r="H35" s="114"/>
      <c r="I35" s="114"/>
      <c r="J35" s="114"/>
      <c r="K35" s="29"/>
      <c r="L35" s="29" t="s">
        <v>40</v>
      </c>
      <c r="M35" s="61"/>
      <c r="N35" s="48"/>
      <c r="O35" s="47"/>
      <c r="P35" s="30"/>
      <c r="Q35" s="101"/>
      <c r="R35" s="126"/>
      <c r="S35" s="152"/>
      <c r="T35" s="155"/>
      <c r="U35" s="137"/>
      <c r="V35" s="138"/>
      <c r="X35" s="131"/>
      <c r="Y35" s="131"/>
      <c r="Z35" s="131"/>
      <c r="AA35" s="131"/>
      <c r="AB35" s="131"/>
    </row>
    <row r="36" spans="1:28">
      <c r="A36" s="28">
        <f t="shared" si="0"/>
        <v>26</v>
      </c>
      <c r="B36" s="47"/>
      <c r="C36" s="47"/>
      <c r="D36" s="47"/>
      <c r="E36" s="47"/>
      <c r="F36" s="114"/>
      <c r="G36" s="114"/>
      <c r="H36" s="114"/>
      <c r="I36" s="114"/>
      <c r="J36" s="114"/>
      <c r="K36" s="29"/>
      <c r="L36" s="29" t="s">
        <v>40</v>
      </c>
      <c r="M36" s="61"/>
      <c r="N36" s="48"/>
      <c r="O36" s="47"/>
      <c r="P36" s="30"/>
      <c r="Q36" s="101"/>
      <c r="R36" s="126"/>
      <c r="S36" s="152"/>
      <c r="T36" s="155"/>
      <c r="U36" s="137"/>
      <c r="V36" s="138"/>
      <c r="X36" s="131"/>
      <c r="Y36" s="131"/>
      <c r="Z36" s="131"/>
      <c r="AA36" s="131"/>
      <c r="AB36" s="131"/>
    </row>
    <row r="37" spans="1:28">
      <c r="A37" s="28">
        <f t="shared" si="0"/>
        <v>27</v>
      </c>
      <c r="B37" s="47"/>
      <c r="C37" s="47"/>
      <c r="D37" s="47"/>
      <c r="E37" s="47"/>
      <c r="F37" s="114"/>
      <c r="G37" s="114"/>
      <c r="H37" s="114"/>
      <c r="I37" s="114"/>
      <c r="J37" s="114"/>
      <c r="K37" s="29"/>
      <c r="L37" s="29" t="s">
        <v>40</v>
      </c>
      <c r="M37" s="61"/>
      <c r="N37" s="48"/>
      <c r="O37" s="47"/>
      <c r="P37" s="30"/>
      <c r="Q37" s="101"/>
      <c r="R37" s="126"/>
      <c r="S37" s="152"/>
      <c r="T37" s="155"/>
      <c r="U37" s="137"/>
      <c r="V37" s="138"/>
      <c r="X37" s="131"/>
      <c r="Y37" s="131"/>
      <c r="Z37" s="131"/>
      <c r="AA37" s="131"/>
      <c r="AB37" s="131"/>
    </row>
    <row r="38" spans="1:28">
      <c r="A38" s="28">
        <f t="shared" si="0"/>
        <v>28</v>
      </c>
      <c r="B38" s="47"/>
      <c r="C38" s="47"/>
      <c r="D38" s="47"/>
      <c r="E38" s="47"/>
      <c r="F38" s="114"/>
      <c r="G38" s="114"/>
      <c r="H38" s="114"/>
      <c r="I38" s="114"/>
      <c r="J38" s="114"/>
      <c r="K38" s="29"/>
      <c r="L38" s="29" t="s">
        <v>40</v>
      </c>
      <c r="M38" s="61"/>
      <c r="N38" s="48"/>
      <c r="O38" s="47"/>
      <c r="P38" s="30"/>
      <c r="Q38" s="101"/>
      <c r="R38" s="126"/>
      <c r="S38" s="152"/>
      <c r="T38" s="155"/>
      <c r="U38" s="137"/>
      <c r="V38" s="138"/>
      <c r="X38" s="131"/>
      <c r="Y38" s="131"/>
      <c r="Z38" s="131"/>
      <c r="AA38" s="131"/>
      <c r="AB38" s="131"/>
    </row>
    <row r="39" spans="1:28">
      <c r="A39" s="28">
        <f t="shared" si="0"/>
        <v>29</v>
      </c>
      <c r="B39" s="47"/>
      <c r="C39" s="47"/>
      <c r="D39" s="47"/>
      <c r="E39" s="47"/>
      <c r="F39" s="114"/>
      <c r="G39" s="114"/>
      <c r="H39" s="114"/>
      <c r="I39" s="114"/>
      <c r="J39" s="114"/>
      <c r="K39" s="29"/>
      <c r="L39" s="29" t="s">
        <v>40</v>
      </c>
      <c r="M39" s="61"/>
      <c r="N39" s="48"/>
      <c r="O39" s="47"/>
      <c r="P39" s="30"/>
      <c r="Q39" s="101"/>
      <c r="R39" s="126"/>
      <c r="S39" s="152"/>
      <c r="T39" s="155"/>
      <c r="U39" s="137"/>
      <c r="V39" s="138"/>
      <c r="X39" s="131"/>
      <c r="Y39" s="131"/>
      <c r="Z39" s="131"/>
      <c r="AA39" s="131"/>
      <c r="AB39" s="131"/>
    </row>
    <row r="40" spans="1:28">
      <c r="A40" s="28">
        <f t="shared" si="0"/>
        <v>30</v>
      </c>
      <c r="B40" s="47"/>
      <c r="C40" s="47"/>
      <c r="D40" s="47"/>
      <c r="E40" s="47"/>
      <c r="F40" s="114"/>
      <c r="G40" s="114"/>
      <c r="H40" s="114"/>
      <c r="I40" s="114"/>
      <c r="J40" s="114"/>
      <c r="K40" s="29"/>
      <c r="L40" s="29" t="s">
        <v>40</v>
      </c>
      <c r="M40" s="61"/>
      <c r="N40" s="48"/>
      <c r="O40" s="47"/>
      <c r="P40" s="30"/>
      <c r="Q40" s="101"/>
      <c r="R40" s="126"/>
      <c r="S40" s="152"/>
      <c r="T40" s="155"/>
      <c r="U40" s="137"/>
      <c r="V40" s="138"/>
      <c r="X40" s="131"/>
      <c r="Y40" s="131"/>
      <c r="Z40" s="131"/>
      <c r="AA40" s="131"/>
      <c r="AB40" s="131"/>
    </row>
  </sheetData>
  <mergeCells count="7">
    <mergeCell ref="T9:V9"/>
    <mergeCell ref="A8:B8"/>
    <mergeCell ref="H2:J2"/>
    <mergeCell ref="B5:C5"/>
    <mergeCell ref="A7:B7"/>
    <mergeCell ref="E7:N7"/>
    <mergeCell ref="E8:O8"/>
  </mergeCells>
  <phoneticPr fontId="1"/>
  <conditionalFormatting sqref="B5:C5">
    <cfRule type="cellIs" dxfId="5" priority="5" stopIfTrue="1" operator="equal">
      <formula>"0 新規商品"</formula>
    </cfRule>
    <cfRule type="cellIs" dxfId="4" priority="6" stopIfTrue="1" operator="between">
      <formula>"2 機能追加"</formula>
      <formula>"3 制度改正"</formula>
    </cfRule>
    <cfRule type="cellIs" dxfId="3" priority="7" stopIfTrue="1" operator="between">
      <formula>"5 スルーテスト"</formula>
      <formula>"6 他部署評価"</formula>
    </cfRule>
  </conditionalFormatting>
  <dataValidations count="12">
    <dataValidation type="date" operator="greaterThanOrEqual" allowBlank="1" showInputMessage="1" showErrorMessage="1" error="2001/1/1以降の日付が入力対象となります。" sqref="M9 M11:M65479" xr:uid="{00000000-0002-0000-0000-000000000000}">
      <formula1>36892</formula1>
    </dataValidation>
    <dataValidation type="list" allowBlank="1" showInputMessage="1" showErrorMessage="1" error="正しいランクを入力してください。" sqref="L11:L40" xr:uid="{00000000-0002-0000-0000-000001000000}">
      <formula1>"　,AA,A,B,C,D"</formula1>
    </dataValidation>
    <dataValidation type="list" imeMode="hiragana" allowBlank="1" showInputMessage="1" sqref="Q11:Q40" xr:uid="{00000000-0002-0000-0000-000002000000}">
      <formula1>評価者</formula1>
    </dataValidation>
    <dataValidation type="list" showInputMessage="1" showErrorMessage="1" error="評価者は、面倒でも必ず選択リストから選んでください！" sqref="C8 F10:J10" xr:uid="{00000000-0002-0000-0000-000003000000}">
      <formula1>評価者</formula1>
    </dataValidation>
    <dataValidation type="list" allowBlank="1" showInputMessage="1" showErrorMessage="1" sqref="F11:J40" xr:uid="{00000000-0002-0000-0000-000004000000}">
      <formula1>"　,○,×,仕様,要望,重複障害,準備項目,評価準備前,評価者誤解,再現せず,文書誤り"</formula1>
    </dataValidation>
    <dataValidation type="list" allowBlank="1" showInputMessage="1" showErrorMessage="1" sqref="A5" xr:uid="{00000000-0002-0000-0000-000005000000}">
      <formula1>"　,表示,登録,帳票,集計,統計,請求,更新,削除"</formula1>
    </dataValidation>
    <dataValidation type="list" allowBlank="1" showInputMessage="1" showErrorMessage="1" sqref="B5:C5" xr:uid="{00000000-0002-0000-0000-000006000000}">
      <formula1>"0 新規商品,1 市場障害,2 機能追加,3 制度改正,4 潜在バグ,5 スルーテスト,6 他部署評価,7 ソースレビュー"</formula1>
    </dataValidation>
    <dataValidation allowBlank="1" showInputMessage="1" showErrorMessage="1" prompt="　・重複障害　→　障害の重複_x000a_　　　　　　　（要望、仕様の重複には使わない）_x000a__x000a_　・準備項目　→　評価項目では無い、_x000a_　　　　　　　　　　　　評価の為の準備作業_x000a_　・評価準備前　→　評価を行う準備が_x000a_　　　　　　　　できていない機能（含、伝達もれ）_x000a_　・評価者誤解　→　評価者の勘違いで、_x000a_　　　　　　　　　　　　　×にしている_x000a_　・再現せず　→　調査したが、再現しない_x000a__x000a_　・文書誤り　→　マニュアルの記載誤りに使用" sqref="H2" xr:uid="{00000000-0002-0000-0000-000007000000}"/>
    <dataValidation type="list" allowBlank="1" showInputMessage="1" showErrorMessage="1" sqref="T11:T40" xr:uid="{00000000-0002-0000-0000-000008000000}">
      <formula1>"　,要件定義,基本設計,詳細設計,製造/UT,結合テスト,他部署,その他"</formula1>
    </dataValidation>
    <dataValidation type="list" allowBlank="1" showInputMessage="1" showErrorMessage="1" sqref="U11:U40" xr:uid="{00000000-0002-0000-0000-000009000000}">
      <formula1>"　,OPミス,データ誤り,テスト仕様誤り,環境バグ,設計バグ,製造バグ,非バグ,その他"</formula1>
    </dataValidation>
    <dataValidation type="list" allowBlank="1" showInputMessage="1" showErrorMessage="1" sqref="V11:V40" xr:uid="{00000000-0002-0000-0000-00000A000000}">
      <formula1>"　,要件漏れ,要件誤り,要件表現不備,設計漏れ,設計誤り,設計表現不備,設計表現不適合,実装漏れ,実装誤り,実装標準不適合,仕様変更,その他の種別"</formula1>
    </dataValidation>
    <dataValidation type="whole" operator="greaterThanOrEqual" allowBlank="1" showInputMessage="1" showErrorMessage="1" error="数字以外は入力できません。_x000a_" sqref="K9:K65479" xr:uid="{00000000-0002-0000-0000-00000B000000}">
      <formula1>1</formula1>
    </dataValidation>
  </dataValidations>
  <pageMargins left="0.39370078740157483" right="0.19685039370078741" top="0.39370078740157483" bottom="0.19685039370078741" header="0.43307086614173229" footer="0.51181102362204722"/>
  <pageSetup paperSize="9" scale="48" orientation="portrait" r:id="rId1"/>
  <headerFooter alignWithMargins="0">
    <oddHeader>&amp;R&amp;"Arial Black,標準"&amp;12PAGE :  &amp;P / &amp;N</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G37"/>
  <sheetViews>
    <sheetView showGridLines="0" zoomScale="90" zoomScaleNormal="90" workbookViewId="0">
      <pane xSplit="2" ySplit="3" topLeftCell="C4" activePane="bottomRight" state="frozen"/>
      <selection pane="topRight" activeCell="D1" sqref="D1"/>
      <selection pane="bottomLeft" activeCell="A4" sqref="A4"/>
      <selection pane="bottomRight" activeCell="B1" sqref="B1"/>
    </sheetView>
  </sheetViews>
  <sheetFormatPr defaultRowHeight="20.100000000000001" customHeight="1" outlineLevelCol="1"/>
  <cols>
    <col min="1" max="1" width="4.125" style="3" customWidth="1"/>
    <col min="2" max="2" width="15.625" style="3" customWidth="1"/>
    <col min="3" max="13" width="5.25" style="3" customWidth="1"/>
    <col min="14" max="33" width="5.25" style="1" customWidth="1"/>
    <col min="34" max="185" width="5.25" style="1" hidden="1" customWidth="1" outlineLevel="1"/>
    <col min="186" max="186" width="6.625" style="3" customWidth="1" collapsed="1"/>
    <col min="187" max="188" width="4.625" style="1" customWidth="1"/>
    <col min="189" max="189" width="5.625" style="1" customWidth="1"/>
    <col min="190" max="16384" width="9" style="1"/>
  </cols>
  <sheetData>
    <row r="1" spans="1:189" ht="28.5">
      <c r="A1" s="115"/>
      <c r="B1" s="106"/>
      <c r="C1" s="72"/>
      <c r="D1" s="96"/>
      <c r="E1" s="72"/>
      <c r="F1" s="72"/>
      <c r="G1" s="72"/>
      <c r="I1" s="72"/>
      <c r="J1" s="72"/>
      <c r="K1" s="72"/>
      <c r="M1" s="72"/>
      <c r="N1" s="72"/>
      <c r="O1" s="72"/>
      <c r="R1" s="72"/>
      <c r="T1" s="72" t="s">
        <v>41</v>
      </c>
      <c r="U1" s="72"/>
      <c r="V1" s="72"/>
      <c r="W1" s="72"/>
      <c r="X1" s="72"/>
      <c r="Y1" s="72"/>
      <c r="Z1" s="72"/>
      <c r="AA1" s="72"/>
      <c r="AB1" s="72"/>
      <c r="AC1" s="72"/>
      <c r="AD1" s="72"/>
      <c r="AE1" s="72"/>
      <c r="AF1" s="72"/>
      <c r="AG1" s="72"/>
      <c r="AH1" s="55"/>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4"/>
      <c r="DF1" s="54"/>
      <c r="DG1" s="54"/>
      <c r="DH1" s="54"/>
      <c r="DI1" s="54"/>
      <c r="DJ1" s="54"/>
      <c r="DK1" s="54"/>
      <c r="DL1" s="54"/>
      <c r="DM1" s="54"/>
      <c r="DN1" s="54"/>
      <c r="DO1" s="54"/>
      <c r="DP1" s="54"/>
      <c r="DQ1" s="54"/>
      <c r="DR1" s="54"/>
      <c r="DS1" s="54"/>
      <c r="DT1" s="54"/>
      <c r="DU1" s="54"/>
      <c r="DV1" s="54"/>
      <c r="DW1" s="54"/>
      <c r="DX1" s="54"/>
      <c r="DY1" s="54"/>
      <c r="DZ1" s="54"/>
      <c r="EA1" s="54"/>
      <c r="EB1" s="54"/>
      <c r="EC1" s="54"/>
      <c r="ED1" s="54"/>
      <c r="EE1" s="54"/>
      <c r="EF1" s="54"/>
      <c r="EG1" s="54"/>
      <c r="EH1" s="54"/>
      <c r="EI1" s="54"/>
      <c r="EJ1" s="54"/>
      <c r="EK1" s="54"/>
      <c r="EL1" s="54"/>
      <c r="EM1" s="54"/>
      <c r="EN1" s="54"/>
      <c r="EO1" s="54"/>
      <c r="EP1" s="54"/>
      <c r="EQ1" s="54"/>
      <c r="ER1" s="54"/>
      <c r="ES1" s="54"/>
      <c r="ET1" s="54"/>
      <c r="EU1" s="54"/>
      <c r="EV1" s="54"/>
      <c r="EW1" s="54"/>
      <c r="EX1" s="54"/>
      <c r="EY1" s="54"/>
      <c r="EZ1" s="54"/>
      <c r="FA1" s="54"/>
      <c r="FB1" s="54"/>
      <c r="FC1" s="54"/>
      <c r="FD1" s="54"/>
      <c r="FE1" s="54"/>
      <c r="FF1" s="54"/>
      <c r="FG1" s="54"/>
      <c r="FH1" s="54"/>
      <c r="FI1" s="54"/>
      <c r="FJ1" s="54"/>
      <c r="FK1" s="54"/>
      <c r="FL1" s="54"/>
      <c r="FM1" s="54"/>
      <c r="FN1" s="54"/>
      <c r="FO1" s="54"/>
      <c r="FP1" s="54"/>
      <c r="FQ1" s="54"/>
      <c r="FR1" s="54"/>
      <c r="FS1" s="54"/>
      <c r="FT1" s="54"/>
      <c r="FU1" s="54"/>
      <c r="FV1" s="54"/>
      <c r="FW1" s="54"/>
      <c r="FX1" s="54"/>
      <c r="FY1" s="54"/>
      <c r="FZ1" s="54"/>
      <c r="GA1" s="54"/>
      <c r="GB1" s="54"/>
      <c r="GC1" s="54"/>
      <c r="GD1" s="56"/>
    </row>
    <row r="2" spans="1:189" ht="20.100000000000001" customHeight="1">
      <c r="A2" s="273"/>
      <c r="B2" s="274"/>
      <c r="C2" s="275"/>
      <c r="D2" s="275"/>
      <c r="E2" s="275"/>
      <c r="F2" s="275"/>
      <c r="G2" s="275"/>
      <c r="H2" s="275"/>
      <c r="I2" s="275"/>
      <c r="J2" s="275"/>
      <c r="K2" s="275"/>
      <c r="L2" s="275"/>
      <c r="M2" s="73"/>
      <c r="N2" s="74"/>
      <c r="O2" s="74"/>
      <c r="P2" s="73"/>
      <c r="Q2" s="74"/>
      <c r="R2" s="74"/>
      <c r="S2" s="74"/>
      <c r="T2" s="75"/>
      <c r="U2" s="72"/>
      <c r="V2" s="72"/>
      <c r="W2" s="72"/>
      <c r="X2" s="72"/>
      <c r="Y2" s="72"/>
      <c r="Z2" s="57"/>
      <c r="AA2" s="57" t="s">
        <v>42</v>
      </c>
      <c r="AB2" s="3"/>
      <c r="AC2" s="57"/>
      <c r="AD2" s="72"/>
      <c r="AE2" s="72"/>
      <c r="AF2" s="72"/>
      <c r="AG2" s="72"/>
      <c r="GD2" s="58"/>
    </row>
    <row r="3" spans="1:189" s="2" customFormat="1" ht="20.100000000000001" customHeight="1">
      <c r="A3" s="276" t="s">
        <v>43</v>
      </c>
      <c r="B3" s="277"/>
      <c r="C3" s="64">
        <v>43808</v>
      </c>
      <c r="D3" s="77">
        <f>C3+1</f>
        <v>43809</v>
      </c>
      <c r="E3" s="77">
        <f t="shared" ref="E3:BP3" si="0">D3+1</f>
        <v>43810</v>
      </c>
      <c r="F3" s="77">
        <f t="shared" si="0"/>
        <v>43811</v>
      </c>
      <c r="G3" s="77">
        <f t="shared" si="0"/>
        <v>43812</v>
      </c>
      <c r="H3" s="77">
        <f t="shared" si="0"/>
        <v>43813</v>
      </c>
      <c r="I3" s="77">
        <f t="shared" si="0"/>
        <v>43814</v>
      </c>
      <c r="J3" s="77">
        <f t="shared" si="0"/>
        <v>43815</v>
      </c>
      <c r="K3" s="77">
        <f t="shared" si="0"/>
        <v>43816</v>
      </c>
      <c r="L3" s="77">
        <f t="shared" si="0"/>
        <v>43817</v>
      </c>
      <c r="M3" s="77">
        <f t="shared" si="0"/>
        <v>43818</v>
      </c>
      <c r="N3" s="77">
        <f t="shared" si="0"/>
        <v>43819</v>
      </c>
      <c r="O3" s="77">
        <f t="shared" si="0"/>
        <v>43820</v>
      </c>
      <c r="P3" s="77">
        <f t="shared" si="0"/>
        <v>43821</v>
      </c>
      <c r="Q3" s="77">
        <f t="shared" si="0"/>
        <v>43822</v>
      </c>
      <c r="R3" s="77">
        <f t="shared" si="0"/>
        <v>43823</v>
      </c>
      <c r="S3" s="77">
        <f t="shared" si="0"/>
        <v>43824</v>
      </c>
      <c r="T3" s="77">
        <f t="shared" si="0"/>
        <v>43825</v>
      </c>
      <c r="U3" s="77">
        <f t="shared" si="0"/>
        <v>43826</v>
      </c>
      <c r="V3" s="77">
        <f t="shared" si="0"/>
        <v>43827</v>
      </c>
      <c r="W3" s="77">
        <f t="shared" si="0"/>
        <v>43828</v>
      </c>
      <c r="X3" s="77">
        <f t="shared" si="0"/>
        <v>43829</v>
      </c>
      <c r="Y3" s="77">
        <f t="shared" si="0"/>
        <v>43830</v>
      </c>
      <c r="Z3" s="77">
        <f t="shared" si="0"/>
        <v>43831</v>
      </c>
      <c r="AA3" s="77">
        <f t="shared" si="0"/>
        <v>43832</v>
      </c>
      <c r="AB3" s="77">
        <f t="shared" si="0"/>
        <v>43833</v>
      </c>
      <c r="AC3" s="77">
        <f t="shared" si="0"/>
        <v>43834</v>
      </c>
      <c r="AD3" s="77">
        <f t="shared" si="0"/>
        <v>43835</v>
      </c>
      <c r="AE3" s="77">
        <f t="shared" si="0"/>
        <v>43836</v>
      </c>
      <c r="AF3" s="77">
        <f t="shared" si="0"/>
        <v>43837</v>
      </c>
      <c r="AG3" s="77">
        <f t="shared" si="0"/>
        <v>43838</v>
      </c>
      <c r="AH3" s="77">
        <f t="shared" si="0"/>
        <v>43839</v>
      </c>
      <c r="AI3" s="77">
        <f t="shared" si="0"/>
        <v>43840</v>
      </c>
      <c r="AJ3" s="77">
        <f t="shared" si="0"/>
        <v>43841</v>
      </c>
      <c r="AK3" s="77">
        <f t="shared" si="0"/>
        <v>43842</v>
      </c>
      <c r="AL3" s="77">
        <f t="shared" si="0"/>
        <v>43843</v>
      </c>
      <c r="AM3" s="77">
        <f t="shared" si="0"/>
        <v>43844</v>
      </c>
      <c r="AN3" s="77">
        <f t="shared" si="0"/>
        <v>43845</v>
      </c>
      <c r="AO3" s="77">
        <f t="shared" si="0"/>
        <v>43846</v>
      </c>
      <c r="AP3" s="77">
        <f t="shared" si="0"/>
        <v>43847</v>
      </c>
      <c r="AQ3" s="77">
        <f t="shared" si="0"/>
        <v>43848</v>
      </c>
      <c r="AR3" s="77">
        <f t="shared" si="0"/>
        <v>43849</v>
      </c>
      <c r="AS3" s="77">
        <f t="shared" si="0"/>
        <v>43850</v>
      </c>
      <c r="AT3" s="77">
        <f t="shared" si="0"/>
        <v>43851</v>
      </c>
      <c r="AU3" s="77">
        <f t="shared" si="0"/>
        <v>43852</v>
      </c>
      <c r="AV3" s="77">
        <f t="shared" si="0"/>
        <v>43853</v>
      </c>
      <c r="AW3" s="77">
        <f t="shared" si="0"/>
        <v>43854</v>
      </c>
      <c r="AX3" s="77">
        <f t="shared" si="0"/>
        <v>43855</v>
      </c>
      <c r="AY3" s="77">
        <f t="shared" si="0"/>
        <v>43856</v>
      </c>
      <c r="AZ3" s="77">
        <f t="shared" si="0"/>
        <v>43857</v>
      </c>
      <c r="BA3" s="77">
        <f t="shared" si="0"/>
        <v>43858</v>
      </c>
      <c r="BB3" s="77">
        <f t="shared" si="0"/>
        <v>43859</v>
      </c>
      <c r="BC3" s="77">
        <f t="shared" si="0"/>
        <v>43860</v>
      </c>
      <c r="BD3" s="77">
        <f t="shared" si="0"/>
        <v>43861</v>
      </c>
      <c r="BE3" s="77">
        <f t="shared" si="0"/>
        <v>43862</v>
      </c>
      <c r="BF3" s="77">
        <f t="shared" si="0"/>
        <v>43863</v>
      </c>
      <c r="BG3" s="77">
        <f t="shared" si="0"/>
        <v>43864</v>
      </c>
      <c r="BH3" s="77">
        <f t="shared" si="0"/>
        <v>43865</v>
      </c>
      <c r="BI3" s="77">
        <f t="shared" si="0"/>
        <v>43866</v>
      </c>
      <c r="BJ3" s="77">
        <f t="shared" si="0"/>
        <v>43867</v>
      </c>
      <c r="BK3" s="77">
        <f t="shared" si="0"/>
        <v>43868</v>
      </c>
      <c r="BL3" s="77">
        <f t="shared" si="0"/>
        <v>43869</v>
      </c>
      <c r="BM3" s="77">
        <f t="shared" si="0"/>
        <v>43870</v>
      </c>
      <c r="BN3" s="77">
        <f t="shared" si="0"/>
        <v>43871</v>
      </c>
      <c r="BO3" s="77">
        <f t="shared" si="0"/>
        <v>43872</v>
      </c>
      <c r="BP3" s="77">
        <f t="shared" si="0"/>
        <v>43873</v>
      </c>
      <c r="BQ3" s="77">
        <f t="shared" ref="BQ3:EB3" si="1">BP3+1</f>
        <v>43874</v>
      </c>
      <c r="BR3" s="77">
        <f t="shared" si="1"/>
        <v>43875</v>
      </c>
      <c r="BS3" s="77">
        <f t="shared" si="1"/>
        <v>43876</v>
      </c>
      <c r="BT3" s="77">
        <f t="shared" si="1"/>
        <v>43877</v>
      </c>
      <c r="BU3" s="77">
        <f t="shared" si="1"/>
        <v>43878</v>
      </c>
      <c r="BV3" s="77">
        <f t="shared" si="1"/>
        <v>43879</v>
      </c>
      <c r="BW3" s="77">
        <f t="shared" si="1"/>
        <v>43880</v>
      </c>
      <c r="BX3" s="77">
        <f t="shared" si="1"/>
        <v>43881</v>
      </c>
      <c r="BY3" s="77">
        <f t="shared" si="1"/>
        <v>43882</v>
      </c>
      <c r="BZ3" s="77">
        <f t="shared" si="1"/>
        <v>43883</v>
      </c>
      <c r="CA3" s="77">
        <f t="shared" si="1"/>
        <v>43884</v>
      </c>
      <c r="CB3" s="77">
        <f t="shared" si="1"/>
        <v>43885</v>
      </c>
      <c r="CC3" s="77">
        <f t="shared" si="1"/>
        <v>43886</v>
      </c>
      <c r="CD3" s="77">
        <f t="shared" si="1"/>
        <v>43887</v>
      </c>
      <c r="CE3" s="77">
        <f t="shared" si="1"/>
        <v>43888</v>
      </c>
      <c r="CF3" s="77">
        <f t="shared" si="1"/>
        <v>43889</v>
      </c>
      <c r="CG3" s="77">
        <f t="shared" si="1"/>
        <v>43890</v>
      </c>
      <c r="CH3" s="77">
        <f t="shared" si="1"/>
        <v>43891</v>
      </c>
      <c r="CI3" s="77">
        <f t="shared" si="1"/>
        <v>43892</v>
      </c>
      <c r="CJ3" s="77">
        <f t="shared" si="1"/>
        <v>43893</v>
      </c>
      <c r="CK3" s="77">
        <f t="shared" si="1"/>
        <v>43894</v>
      </c>
      <c r="CL3" s="77">
        <f t="shared" si="1"/>
        <v>43895</v>
      </c>
      <c r="CM3" s="77">
        <f t="shared" si="1"/>
        <v>43896</v>
      </c>
      <c r="CN3" s="77">
        <f t="shared" si="1"/>
        <v>43897</v>
      </c>
      <c r="CO3" s="77">
        <f t="shared" si="1"/>
        <v>43898</v>
      </c>
      <c r="CP3" s="77">
        <f t="shared" si="1"/>
        <v>43899</v>
      </c>
      <c r="CQ3" s="77">
        <f t="shared" si="1"/>
        <v>43900</v>
      </c>
      <c r="CR3" s="77">
        <f t="shared" si="1"/>
        <v>43901</v>
      </c>
      <c r="CS3" s="77">
        <f t="shared" si="1"/>
        <v>43902</v>
      </c>
      <c r="CT3" s="77">
        <f t="shared" si="1"/>
        <v>43903</v>
      </c>
      <c r="CU3" s="77">
        <f t="shared" si="1"/>
        <v>43904</v>
      </c>
      <c r="CV3" s="77">
        <f t="shared" si="1"/>
        <v>43905</v>
      </c>
      <c r="CW3" s="77">
        <f t="shared" si="1"/>
        <v>43906</v>
      </c>
      <c r="CX3" s="77">
        <f t="shared" si="1"/>
        <v>43907</v>
      </c>
      <c r="CY3" s="77">
        <f t="shared" si="1"/>
        <v>43908</v>
      </c>
      <c r="CZ3" s="77">
        <f t="shared" si="1"/>
        <v>43909</v>
      </c>
      <c r="DA3" s="77">
        <f t="shared" si="1"/>
        <v>43910</v>
      </c>
      <c r="DB3" s="77">
        <f t="shared" si="1"/>
        <v>43911</v>
      </c>
      <c r="DC3" s="77">
        <f t="shared" si="1"/>
        <v>43912</v>
      </c>
      <c r="DD3" s="77">
        <f t="shared" si="1"/>
        <v>43913</v>
      </c>
      <c r="DE3" s="77">
        <f t="shared" si="1"/>
        <v>43914</v>
      </c>
      <c r="DF3" s="77">
        <f t="shared" si="1"/>
        <v>43915</v>
      </c>
      <c r="DG3" s="77">
        <f t="shared" si="1"/>
        <v>43916</v>
      </c>
      <c r="DH3" s="77">
        <f t="shared" si="1"/>
        <v>43917</v>
      </c>
      <c r="DI3" s="77">
        <f t="shared" si="1"/>
        <v>43918</v>
      </c>
      <c r="DJ3" s="77">
        <f t="shared" si="1"/>
        <v>43919</v>
      </c>
      <c r="DK3" s="77">
        <f t="shared" si="1"/>
        <v>43920</v>
      </c>
      <c r="DL3" s="77">
        <f t="shared" si="1"/>
        <v>43921</v>
      </c>
      <c r="DM3" s="77">
        <f t="shared" si="1"/>
        <v>43922</v>
      </c>
      <c r="DN3" s="77">
        <f t="shared" si="1"/>
        <v>43923</v>
      </c>
      <c r="DO3" s="77">
        <f t="shared" si="1"/>
        <v>43924</v>
      </c>
      <c r="DP3" s="77">
        <f t="shared" si="1"/>
        <v>43925</v>
      </c>
      <c r="DQ3" s="77">
        <f t="shared" si="1"/>
        <v>43926</v>
      </c>
      <c r="DR3" s="77">
        <f t="shared" si="1"/>
        <v>43927</v>
      </c>
      <c r="DS3" s="77">
        <f t="shared" si="1"/>
        <v>43928</v>
      </c>
      <c r="DT3" s="77">
        <f t="shared" si="1"/>
        <v>43929</v>
      </c>
      <c r="DU3" s="77">
        <f t="shared" si="1"/>
        <v>43930</v>
      </c>
      <c r="DV3" s="77">
        <f t="shared" si="1"/>
        <v>43931</v>
      </c>
      <c r="DW3" s="77">
        <f t="shared" si="1"/>
        <v>43932</v>
      </c>
      <c r="DX3" s="77">
        <f t="shared" si="1"/>
        <v>43933</v>
      </c>
      <c r="DY3" s="77">
        <f t="shared" si="1"/>
        <v>43934</v>
      </c>
      <c r="DZ3" s="77">
        <f t="shared" si="1"/>
        <v>43935</v>
      </c>
      <c r="EA3" s="77">
        <f t="shared" si="1"/>
        <v>43936</v>
      </c>
      <c r="EB3" s="77">
        <f t="shared" si="1"/>
        <v>43937</v>
      </c>
      <c r="EC3" s="77">
        <f t="shared" ref="EC3:GC3" si="2">EB3+1</f>
        <v>43938</v>
      </c>
      <c r="ED3" s="77">
        <f t="shared" si="2"/>
        <v>43939</v>
      </c>
      <c r="EE3" s="77">
        <f t="shared" si="2"/>
        <v>43940</v>
      </c>
      <c r="EF3" s="77">
        <f t="shared" si="2"/>
        <v>43941</v>
      </c>
      <c r="EG3" s="77">
        <f t="shared" si="2"/>
        <v>43942</v>
      </c>
      <c r="EH3" s="77">
        <f t="shared" si="2"/>
        <v>43943</v>
      </c>
      <c r="EI3" s="77">
        <f t="shared" si="2"/>
        <v>43944</v>
      </c>
      <c r="EJ3" s="77">
        <f t="shared" si="2"/>
        <v>43945</v>
      </c>
      <c r="EK3" s="77">
        <f t="shared" si="2"/>
        <v>43946</v>
      </c>
      <c r="EL3" s="77">
        <f t="shared" si="2"/>
        <v>43947</v>
      </c>
      <c r="EM3" s="77">
        <f t="shared" si="2"/>
        <v>43948</v>
      </c>
      <c r="EN3" s="77">
        <f t="shared" si="2"/>
        <v>43949</v>
      </c>
      <c r="EO3" s="77">
        <f t="shared" si="2"/>
        <v>43950</v>
      </c>
      <c r="EP3" s="77">
        <f t="shared" si="2"/>
        <v>43951</v>
      </c>
      <c r="EQ3" s="77">
        <f t="shared" si="2"/>
        <v>43952</v>
      </c>
      <c r="ER3" s="77">
        <f t="shared" si="2"/>
        <v>43953</v>
      </c>
      <c r="ES3" s="77">
        <f t="shared" si="2"/>
        <v>43954</v>
      </c>
      <c r="ET3" s="77">
        <f t="shared" si="2"/>
        <v>43955</v>
      </c>
      <c r="EU3" s="77">
        <f t="shared" si="2"/>
        <v>43956</v>
      </c>
      <c r="EV3" s="77">
        <f t="shared" si="2"/>
        <v>43957</v>
      </c>
      <c r="EW3" s="77">
        <f t="shared" si="2"/>
        <v>43958</v>
      </c>
      <c r="EX3" s="77">
        <f t="shared" si="2"/>
        <v>43959</v>
      </c>
      <c r="EY3" s="77">
        <f t="shared" si="2"/>
        <v>43960</v>
      </c>
      <c r="EZ3" s="77">
        <f t="shared" si="2"/>
        <v>43961</v>
      </c>
      <c r="FA3" s="77">
        <f t="shared" si="2"/>
        <v>43962</v>
      </c>
      <c r="FB3" s="77">
        <f t="shared" si="2"/>
        <v>43963</v>
      </c>
      <c r="FC3" s="77">
        <f t="shared" si="2"/>
        <v>43964</v>
      </c>
      <c r="FD3" s="77">
        <f t="shared" si="2"/>
        <v>43965</v>
      </c>
      <c r="FE3" s="77">
        <f t="shared" si="2"/>
        <v>43966</v>
      </c>
      <c r="FF3" s="77">
        <f t="shared" si="2"/>
        <v>43967</v>
      </c>
      <c r="FG3" s="77">
        <f t="shared" si="2"/>
        <v>43968</v>
      </c>
      <c r="FH3" s="77">
        <f t="shared" si="2"/>
        <v>43969</v>
      </c>
      <c r="FI3" s="77">
        <f t="shared" si="2"/>
        <v>43970</v>
      </c>
      <c r="FJ3" s="77">
        <f t="shared" si="2"/>
        <v>43971</v>
      </c>
      <c r="FK3" s="77">
        <f t="shared" si="2"/>
        <v>43972</v>
      </c>
      <c r="FL3" s="77">
        <f t="shared" si="2"/>
        <v>43973</v>
      </c>
      <c r="FM3" s="77">
        <f t="shared" si="2"/>
        <v>43974</v>
      </c>
      <c r="FN3" s="77">
        <f t="shared" si="2"/>
        <v>43975</v>
      </c>
      <c r="FO3" s="77">
        <f t="shared" si="2"/>
        <v>43976</v>
      </c>
      <c r="FP3" s="77">
        <f t="shared" si="2"/>
        <v>43977</v>
      </c>
      <c r="FQ3" s="77">
        <f t="shared" si="2"/>
        <v>43978</v>
      </c>
      <c r="FR3" s="77">
        <f t="shared" si="2"/>
        <v>43979</v>
      </c>
      <c r="FS3" s="77">
        <f t="shared" si="2"/>
        <v>43980</v>
      </c>
      <c r="FT3" s="77">
        <f t="shared" si="2"/>
        <v>43981</v>
      </c>
      <c r="FU3" s="77">
        <f t="shared" si="2"/>
        <v>43982</v>
      </c>
      <c r="FV3" s="77">
        <f t="shared" si="2"/>
        <v>43983</v>
      </c>
      <c r="FW3" s="77">
        <f t="shared" si="2"/>
        <v>43984</v>
      </c>
      <c r="FX3" s="77">
        <f t="shared" si="2"/>
        <v>43985</v>
      </c>
      <c r="FY3" s="77">
        <f t="shared" si="2"/>
        <v>43986</v>
      </c>
      <c r="FZ3" s="77">
        <f t="shared" si="2"/>
        <v>43987</v>
      </c>
      <c r="GA3" s="77">
        <f t="shared" si="2"/>
        <v>43988</v>
      </c>
      <c r="GB3" s="77">
        <f t="shared" si="2"/>
        <v>43989</v>
      </c>
      <c r="GC3" s="77">
        <f t="shared" si="2"/>
        <v>43990</v>
      </c>
      <c r="GD3" s="78" t="s">
        <v>44</v>
      </c>
      <c r="GE3" s="109" t="s">
        <v>45</v>
      </c>
      <c r="GF3" s="109" t="s">
        <v>46</v>
      </c>
      <c r="GG3" s="109" t="s">
        <v>47</v>
      </c>
    </row>
    <row r="4" spans="1:189" ht="20.100000000000001" customHeight="1">
      <c r="A4" s="4">
        <v>1</v>
      </c>
      <c r="B4" s="5"/>
      <c r="C4" s="65"/>
      <c r="D4" s="5"/>
      <c r="E4" s="5"/>
      <c r="F4" s="5"/>
      <c r="G4" s="5"/>
      <c r="H4" s="5"/>
      <c r="I4" s="5"/>
      <c r="J4" s="5"/>
      <c r="K4" s="5"/>
      <c r="L4" s="5"/>
      <c r="M4" s="5"/>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141">
        <f t="shared" ref="GD4:GD23" si="3">SUM(C4:GC4)</f>
        <v>0</v>
      </c>
      <c r="GE4" s="110"/>
      <c r="GF4" s="110">
        <f t="shared" ref="GF4:GF22" si="4">IF(GE4=1,GD4,0)</f>
        <v>0</v>
      </c>
      <c r="GG4" s="110"/>
    </row>
    <row r="5" spans="1:189" ht="20.100000000000001" customHeight="1">
      <c r="A5" s="7">
        <v>2</v>
      </c>
      <c r="B5" s="8"/>
      <c r="C5" s="66"/>
      <c r="D5" s="8"/>
      <c r="E5" s="8"/>
      <c r="F5" s="8"/>
      <c r="G5" s="8"/>
      <c r="H5" s="8"/>
      <c r="I5" s="8"/>
      <c r="J5" s="8"/>
      <c r="K5" s="8"/>
      <c r="L5" s="8"/>
      <c r="M5" s="8"/>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142">
        <f t="shared" si="3"/>
        <v>0</v>
      </c>
      <c r="GE5" s="110"/>
      <c r="GF5" s="110">
        <f t="shared" si="4"/>
        <v>0</v>
      </c>
      <c r="GG5" s="110"/>
    </row>
    <row r="6" spans="1:189" ht="20.100000000000001" customHeight="1">
      <c r="A6" s="7">
        <v>3</v>
      </c>
      <c r="B6" s="8"/>
      <c r="C6" s="66"/>
      <c r="D6" s="8"/>
      <c r="E6" s="8"/>
      <c r="F6" s="8"/>
      <c r="G6" s="8"/>
      <c r="H6" s="120"/>
      <c r="I6" s="8"/>
      <c r="J6" s="8"/>
      <c r="K6" s="8"/>
      <c r="L6" s="8"/>
      <c r="M6" s="8"/>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142">
        <f t="shared" si="3"/>
        <v>0</v>
      </c>
      <c r="GE6" s="110"/>
      <c r="GF6" s="110">
        <f t="shared" si="4"/>
        <v>0</v>
      </c>
      <c r="GG6" s="110"/>
    </row>
    <row r="7" spans="1:189" ht="20.100000000000001" customHeight="1">
      <c r="A7" s="7">
        <v>4</v>
      </c>
      <c r="B7" s="8"/>
      <c r="C7" s="66"/>
      <c r="D7" s="8"/>
      <c r="E7" s="8"/>
      <c r="F7" s="8"/>
      <c r="G7" s="8"/>
      <c r="H7" s="8"/>
      <c r="I7" s="8"/>
      <c r="J7" s="8"/>
      <c r="K7" s="8"/>
      <c r="L7" s="8"/>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142">
        <f t="shared" si="3"/>
        <v>0</v>
      </c>
      <c r="GE7" s="110"/>
      <c r="GF7" s="110">
        <f t="shared" si="4"/>
        <v>0</v>
      </c>
      <c r="GG7" s="110"/>
    </row>
    <row r="8" spans="1:189" ht="20.100000000000001" customHeight="1">
      <c r="A8" s="7">
        <v>5</v>
      </c>
      <c r="B8" s="8"/>
      <c r="C8" s="66"/>
      <c r="D8" s="8"/>
      <c r="E8" s="8"/>
      <c r="F8" s="8"/>
      <c r="G8" s="8"/>
      <c r="H8" s="8"/>
      <c r="I8" s="8"/>
      <c r="J8" s="8"/>
      <c r="K8" s="8"/>
      <c r="L8" s="8"/>
      <c r="M8" s="8"/>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142">
        <f t="shared" si="3"/>
        <v>0</v>
      </c>
      <c r="GE8" s="110"/>
      <c r="GF8" s="110">
        <f t="shared" si="4"/>
        <v>0</v>
      </c>
      <c r="GG8" s="110"/>
    </row>
    <row r="9" spans="1:189" ht="20.100000000000001" customHeight="1">
      <c r="A9" s="7">
        <v>6</v>
      </c>
      <c r="B9" s="8"/>
      <c r="C9" s="66"/>
      <c r="D9" s="8"/>
      <c r="E9" s="8"/>
      <c r="F9" s="8"/>
      <c r="G9" s="8"/>
      <c r="H9" s="8"/>
      <c r="I9" s="8"/>
      <c r="J9" s="8"/>
      <c r="K9" s="8"/>
      <c r="L9" s="8"/>
      <c r="M9" s="8"/>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142">
        <f t="shared" si="3"/>
        <v>0</v>
      </c>
      <c r="GE9" s="110"/>
      <c r="GF9" s="110">
        <f t="shared" si="4"/>
        <v>0</v>
      </c>
      <c r="GG9" s="110"/>
    </row>
    <row r="10" spans="1:189" ht="20.100000000000001" customHeight="1">
      <c r="A10" s="7">
        <v>7</v>
      </c>
      <c r="B10" s="8"/>
      <c r="C10" s="66"/>
      <c r="D10" s="8"/>
      <c r="E10" s="8"/>
      <c r="F10" s="8"/>
      <c r="G10" s="8"/>
      <c r="H10" s="8"/>
      <c r="I10" s="8"/>
      <c r="J10" s="8"/>
      <c r="K10" s="8"/>
      <c r="L10" s="8"/>
      <c r="M10" s="8"/>
      <c r="N10" s="9"/>
      <c r="O10" s="9"/>
      <c r="P10" s="9"/>
      <c r="Q10" s="8"/>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142">
        <f t="shared" si="3"/>
        <v>0</v>
      </c>
      <c r="GE10" s="110"/>
      <c r="GF10" s="110">
        <f t="shared" si="4"/>
        <v>0</v>
      </c>
      <c r="GG10" s="110"/>
    </row>
    <row r="11" spans="1:189" ht="20.100000000000001" customHeight="1">
      <c r="A11" s="7">
        <v>8</v>
      </c>
      <c r="B11" s="8"/>
      <c r="C11" s="66"/>
      <c r="D11" s="8"/>
      <c r="E11" s="8"/>
      <c r="F11" s="8"/>
      <c r="G11" s="8"/>
      <c r="H11" s="8"/>
      <c r="I11" s="8"/>
      <c r="J11" s="8"/>
      <c r="K11" s="8"/>
      <c r="L11" s="8"/>
      <c r="M11" s="8"/>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142">
        <f t="shared" si="3"/>
        <v>0</v>
      </c>
      <c r="GE11" s="110"/>
      <c r="GF11" s="110">
        <f t="shared" si="4"/>
        <v>0</v>
      </c>
      <c r="GG11" s="110"/>
    </row>
    <row r="12" spans="1:189" ht="20.100000000000001" customHeight="1">
      <c r="A12" s="7">
        <v>9</v>
      </c>
      <c r="B12" s="8"/>
      <c r="C12" s="66"/>
      <c r="D12" s="8"/>
      <c r="E12" s="8"/>
      <c r="F12" s="8"/>
      <c r="G12" s="8"/>
      <c r="H12" s="8"/>
      <c r="I12" s="8"/>
      <c r="J12" s="8"/>
      <c r="K12" s="8"/>
      <c r="L12" s="8"/>
      <c r="M12" s="8"/>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142">
        <f t="shared" si="3"/>
        <v>0</v>
      </c>
      <c r="GE12" s="110"/>
      <c r="GF12" s="110">
        <f t="shared" si="4"/>
        <v>0</v>
      </c>
      <c r="GG12" s="110"/>
    </row>
    <row r="13" spans="1:189" ht="20.100000000000001" customHeight="1">
      <c r="A13" s="7">
        <v>10</v>
      </c>
      <c r="B13" s="8"/>
      <c r="C13" s="66"/>
      <c r="D13" s="8"/>
      <c r="E13" s="8"/>
      <c r="F13" s="8"/>
      <c r="G13" s="8"/>
      <c r="H13" s="8"/>
      <c r="I13" s="8"/>
      <c r="J13" s="8"/>
      <c r="K13" s="8"/>
      <c r="L13" s="8"/>
      <c r="M13" s="8"/>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142">
        <f t="shared" si="3"/>
        <v>0</v>
      </c>
      <c r="GE13" s="110"/>
      <c r="GF13" s="110">
        <f t="shared" si="4"/>
        <v>0</v>
      </c>
      <c r="GG13" s="110"/>
    </row>
    <row r="14" spans="1:189" ht="20.100000000000001" customHeight="1">
      <c r="A14" s="7">
        <v>11</v>
      </c>
      <c r="B14" s="8"/>
      <c r="C14" s="66"/>
      <c r="D14" s="8"/>
      <c r="E14" s="8"/>
      <c r="F14" s="8"/>
      <c r="G14" s="8"/>
      <c r="H14" s="8"/>
      <c r="I14" s="8"/>
      <c r="J14" s="8"/>
      <c r="K14" s="8"/>
      <c r="L14" s="8"/>
      <c r="M14" s="8"/>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142">
        <f t="shared" si="3"/>
        <v>0</v>
      </c>
      <c r="GE14" s="110"/>
      <c r="GF14" s="110">
        <f t="shared" si="4"/>
        <v>0</v>
      </c>
      <c r="GG14" s="110"/>
    </row>
    <row r="15" spans="1:189" ht="20.100000000000001" customHeight="1">
      <c r="A15" s="7">
        <v>12</v>
      </c>
      <c r="B15" s="8"/>
      <c r="C15" s="66"/>
      <c r="D15" s="8"/>
      <c r="E15" s="8"/>
      <c r="F15" s="8"/>
      <c r="G15" s="8"/>
      <c r="H15" s="8"/>
      <c r="I15" s="8"/>
      <c r="J15" s="8"/>
      <c r="K15" s="8"/>
      <c r="L15" s="8"/>
      <c r="M15" s="8"/>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142">
        <f t="shared" si="3"/>
        <v>0</v>
      </c>
      <c r="GE15" s="110"/>
      <c r="GF15" s="110">
        <f t="shared" si="4"/>
        <v>0</v>
      </c>
      <c r="GG15" s="110"/>
    </row>
    <row r="16" spans="1:189" ht="20.100000000000001" customHeight="1">
      <c r="A16" s="7">
        <v>13</v>
      </c>
      <c r="B16" s="8"/>
      <c r="C16" s="66"/>
      <c r="D16" s="8"/>
      <c r="E16" s="8"/>
      <c r="F16" s="8"/>
      <c r="G16" s="8"/>
      <c r="H16" s="8"/>
      <c r="I16" s="8"/>
      <c r="J16" s="8"/>
      <c r="K16" s="8"/>
      <c r="L16" s="8"/>
      <c r="M16" s="8"/>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142">
        <f t="shared" si="3"/>
        <v>0</v>
      </c>
      <c r="GE16" s="110"/>
      <c r="GF16" s="110">
        <f t="shared" si="4"/>
        <v>0</v>
      </c>
      <c r="GG16" s="110"/>
    </row>
    <row r="17" spans="1:189" ht="20.100000000000001" customHeight="1">
      <c r="A17" s="7">
        <v>14</v>
      </c>
      <c r="B17" s="8"/>
      <c r="C17" s="66"/>
      <c r="D17" s="8"/>
      <c r="E17" s="8"/>
      <c r="F17" s="8"/>
      <c r="G17" s="8"/>
      <c r="H17" s="8"/>
      <c r="I17" s="8"/>
      <c r="J17" s="8"/>
      <c r="K17" s="8"/>
      <c r="L17" s="8"/>
      <c r="M17" s="8"/>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142">
        <f t="shared" si="3"/>
        <v>0</v>
      </c>
      <c r="GE17" s="110"/>
      <c r="GF17" s="110">
        <f t="shared" si="4"/>
        <v>0</v>
      </c>
      <c r="GG17" s="110"/>
    </row>
    <row r="18" spans="1:189" ht="20.100000000000001" customHeight="1">
      <c r="A18" s="7">
        <v>15</v>
      </c>
      <c r="B18" s="8"/>
      <c r="C18" s="67"/>
      <c r="D18" s="10"/>
      <c r="E18" s="10"/>
      <c r="F18" s="10"/>
      <c r="G18" s="10"/>
      <c r="H18" s="10"/>
      <c r="I18" s="10"/>
      <c r="J18" s="10"/>
      <c r="K18" s="10"/>
      <c r="L18" s="10"/>
      <c r="M18" s="10"/>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42">
        <f t="shared" si="3"/>
        <v>0</v>
      </c>
      <c r="GE18" s="110"/>
      <c r="GF18" s="110">
        <f t="shared" si="4"/>
        <v>0</v>
      </c>
      <c r="GG18" s="110"/>
    </row>
    <row r="19" spans="1:189" ht="20.100000000000001" customHeight="1">
      <c r="A19" s="7">
        <v>16</v>
      </c>
      <c r="B19" s="8"/>
      <c r="C19" s="67"/>
      <c r="D19" s="10"/>
      <c r="E19" s="10"/>
      <c r="F19" s="10"/>
      <c r="G19" s="10"/>
      <c r="H19" s="10"/>
      <c r="I19" s="10"/>
      <c r="J19" s="10"/>
      <c r="K19" s="10"/>
      <c r="L19" s="10"/>
      <c r="M19" s="10"/>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42">
        <f t="shared" si="3"/>
        <v>0</v>
      </c>
      <c r="GE19" s="110"/>
      <c r="GF19" s="110">
        <f t="shared" si="4"/>
        <v>0</v>
      </c>
      <c r="GG19" s="110"/>
    </row>
    <row r="20" spans="1:189" ht="20.100000000000001" customHeight="1">
      <c r="A20" s="7">
        <v>17</v>
      </c>
      <c r="B20" s="8"/>
      <c r="C20" s="67"/>
      <c r="D20" s="10"/>
      <c r="E20" s="10"/>
      <c r="F20" s="10"/>
      <c r="G20" s="10"/>
      <c r="H20" s="10"/>
      <c r="I20" s="10"/>
      <c r="J20" s="10"/>
      <c r="K20" s="10"/>
      <c r="L20" s="10"/>
      <c r="M20" s="10"/>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42">
        <f t="shared" si="3"/>
        <v>0</v>
      </c>
      <c r="GE20" s="110"/>
      <c r="GF20" s="110">
        <f t="shared" si="4"/>
        <v>0</v>
      </c>
      <c r="GG20" s="110"/>
    </row>
    <row r="21" spans="1:189" ht="20.100000000000001" customHeight="1">
      <c r="A21" s="7">
        <v>18</v>
      </c>
      <c r="B21" s="8"/>
      <c r="C21" s="67"/>
      <c r="D21" s="10"/>
      <c r="E21" s="10"/>
      <c r="F21" s="10"/>
      <c r="G21" s="10"/>
      <c r="H21" s="10"/>
      <c r="I21" s="10"/>
      <c r="J21" s="10"/>
      <c r="K21" s="10"/>
      <c r="L21" s="10"/>
      <c r="M21" s="10"/>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42">
        <f t="shared" si="3"/>
        <v>0</v>
      </c>
      <c r="GE21" s="110"/>
      <c r="GF21" s="110">
        <f t="shared" si="4"/>
        <v>0</v>
      </c>
      <c r="GG21" s="110"/>
    </row>
    <row r="22" spans="1:189" ht="20.100000000000001" customHeight="1">
      <c r="A22" s="7">
        <v>19</v>
      </c>
      <c r="B22" s="8"/>
      <c r="C22" s="67"/>
      <c r="D22" s="10"/>
      <c r="E22" s="10"/>
      <c r="F22" s="10"/>
      <c r="G22" s="10"/>
      <c r="H22" s="10"/>
      <c r="I22" s="10"/>
      <c r="J22" s="10"/>
      <c r="K22" s="10"/>
      <c r="L22" s="10"/>
      <c r="M22" s="10"/>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42">
        <f t="shared" si="3"/>
        <v>0</v>
      </c>
      <c r="GE22" s="110"/>
      <c r="GF22" s="110">
        <f t="shared" si="4"/>
        <v>0</v>
      </c>
      <c r="GG22" s="110"/>
    </row>
    <row r="23" spans="1:189" ht="20.100000000000001" customHeight="1">
      <c r="A23" s="69">
        <v>20</v>
      </c>
      <c r="B23" s="70"/>
      <c r="C23" s="67"/>
      <c r="D23" s="10"/>
      <c r="E23" s="10"/>
      <c r="F23" s="10"/>
      <c r="G23" s="10"/>
      <c r="H23" s="10"/>
      <c r="I23" s="10"/>
      <c r="J23" s="10"/>
      <c r="K23" s="10"/>
      <c r="L23" s="10"/>
      <c r="M23" s="10"/>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43">
        <f t="shared" si="3"/>
        <v>0</v>
      </c>
      <c r="GE23" s="110"/>
      <c r="GF23" s="110">
        <f>IF(GE23=1,GD23,0)</f>
        <v>0</v>
      </c>
      <c r="GG23" s="110"/>
    </row>
    <row r="24" spans="1:189" ht="20.100000000000001" customHeight="1">
      <c r="A24" s="278" t="s">
        <v>48</v>
      </c>
      <c r="B24" s="279"/>
      <c r="C24" s="68">
        <f>SUM(C4:C23)</f>
        <v>0</v>
      </c>
      <c r="D24" s="68">
        <f t="shared" ref="D24:BO24" si="5">SUM(D4:D23)</f>
        <v>0</v>
      </c>
      <c r="E24" s="68">
        <f t="shared" si="5"/>
        <v>0</v>
      </c>
      <c r="F24" s="68">
        <f t="shared" si="5"/>
        <v>0</v>
      </c>
      <c r="G24" s="68">
        <f t="shared" si="5"/>
        <v>0</v>
      </c>
      <c r="H24" s="68">
        <f t="shared" si="5"/>
        <v>0</v>
      </c>
      <c r="I24" s="68">
        <f t="shared" si="5"/>
        <v>0</v>
      </c>
      <c r="J24" s="68">
        <f t="shared" si="5"/>
        <v>0</v>
      </c>
      <c r="K24" s="68">
        <f t="shared" si="5"/>
        <v>0</v>
      </c>
      <c r="L24" s="68">
        <f t="shared" si="5"/>
        <v>0</v>
      </c>
      <c r="M24" s="68">
        <f t="shared" si="5"/>
        <v>0</v>
      </c>
      <c r="N24" s="68">
        <f t="shared" si="5"/>
        <v>0</v>
      </c>
      <c r="O24" s="68">
        <f>SUM(O4:O23)</f>
        <v>0</v>
      </c>
      <c r="P24" s="68">
        <f t="shared" si="5"/>
        <v>0</v>
      </c>
      <c r="Q24" s="68">
        <f t="shared" si="5"/>
        <v>0</v>
      </c>
      <c r="R24" s="68">
        <f t="shared" si="5"/>
        <v>0</v>
      </c>
      <c r="S24" s="68">
        <f t="shared" si="5"/>
        <v>0</v>
      </c>
      <c r="T24" s="68">
        <f t="shared" si="5"/>
        <v>0</v>
      </c>
      <c r="U24" s="68">
        <f t="shared" si="5"/>
        <v>0</v>
      </c>
      <c r="V24" s="68">
        <f t="shared" si="5"/>
        <v>0</v>
      </c>
      <c r="W24" s="68">
        <f t="shared" si="5"/>
        <v>0</v>
      </c>
      <c r="X24" s="68">
        <f t="shared" si="5"/>
        <v>0</v>
      </c>
      <c r="Y24" s="68">
        <f t="shared" si="5"/>
        <v>0</v>
      </c>
      <c r="Z24" s="68">
        <f t="shared" si="5"/>
        <v>0</v>
      </c>
      <c r="AA24" s="68">
        <f t="shared" si="5"/>
        <v>0</v>
      </c>
      <c r="AB24" s="68">
        <f t="shared" si="5"/>
        <v>0</v>
      </c>
      <c r="AC24" s="68">
        <f t="shared" si="5"/>
        <v>0</v>
      </c>
      <c r="AD24" s="68">
        <f t="shared" si="5"/>
        <v>0</v>
      </c>
      <c r="AE24" s="68">
        <f t="shared" si="5"/>
        <v>0</v>
      </c>
      <c r="AF24" s="68">
        <f t="shared" si="5"/>
        <v>0</v>
      </c>
      <c r="AG24" s="68">
        <f t="shared" si="5"/>
        <v>0</v>
      </c>
      <c r="AH24" s="68">
        <f t="shared" si="5"/>
        <v>0</v>
      </c>
      <c r="AI24" s="68">
        <f t="shared" si="5"/>
        <v>0</v>
      </c>
      <c r="AJ24" s="68">
        <f t="shared" si="5"/>
        <v>0</v>
      </c>
      <c r="AK24" s="68">
        <f t="shared" si="5"/>
        <v>0</v>
      </c>
      <c r="AL24" s="68">
        <f t="shared" si="5"/>
        <v>0</v>
      </c>
      <c r="AM24" s="68">
        <f t="shared" si="5"/>
        <v>0</v>
      </c>
      <c r="AN24" s="68">
        <f t="shared" si="5"/>
        <v>0</v>
      </c>
      <c r="AO24" s="68">
        <f t="shared" si="5"/>
        <v>0</v>
      </c>
      <c r="AP24" s="68">
        <f t="shared" si="5"/>
        <v>0</v>
      </c>
      <c r="AQ24" s="68">
        <f t="shared" si="5"/>
        <v>0</v>
      </c>
      <c r="AR24" s="68">
        <f t="shared" si="5"/>
        <v>0</v>
      </c>
      <c r="AS24" s="68">
        <f t="shared" si="5"/>
        <v>0</v>
      </c>
      <c r="AT24" s="68">
        <f t="shared" si="5"/>
        <v>0</v>
      </c>
      <c r="AU24" s="68">
        <f t="shared" si="5"/>
        <v>0</v>
      </c>
      <c r="AV24" s="68">
        <f t="shared" si="5"/>
        <v>0</v>
      </c>
      <c r="AW24" s="68">
        <f t="shared" si="5"/>
        <v>0</v>
      </c>
      <c r="AX24" s="68">
        <f t="shared" si="5"/>
        <v>0</v>
      </c>
      <c r="AY24" s="68">
        <f t="shared" si="5"/>
        <v>0</v>
      </c>
      <c r="AZ24" s="68">
        <f t="shared" si="5"/>
        <v>0</v>
      </c>
      <c r="BA24" s="68">
        <f t="shared" si="5"/>
        <v>0</v>
      </c>
      <c r="BB24" s="68">
        <f t="shared" si="5"/>
        <v>0</v>
      </c>
      <c r="BC24" s="68">
        <f t="shared" si="5"/>
        <v>0</v>
      </c>
      <c r="BD24" s="68">
        <f t="shared" si="5"/>
        <v>0</v>
      </c>
      <c r="BE24" s="68">
        <f t="shared" si="5"/>
        <v>0</v>
      </c>
      <c r="BF24" s="68">
        <f t="shared" si="5"/>
        <v>0</v>
      </c>
      <c r="BG24" s="68">
        <f t="shared" si="5"/>
        <v>0</v>
      </c>
      <c r="BH24" s="68">
        <f t="shared" si="5"/>
        <v>0</v>
      </c>
      <c r="BI24" s="68">
        <f t="shared" si="5"/>
        <v>0</v>
      </c>
      <c r="BJ24" s="68">
        <f t="shared" si="5"/>
        <v>0</v>
      </c>
      <c r="BK24" s="68">
        <f t="shared" si="5"/>
        <v>0</v>
      </c>
      <c r="BL24" s="68">
        <f t="shared" si="5"/>
        <v>0</v>
      </c>
      <c r="BM24" s="68">
        <f t="shared" si="5"/>
        <v>0</v>
      </c>
      <c r="BN24" s="68">
        <f t="shared" si="5"/>
        <v>0</v>
      </c>
      <c r="BO24" s="68">
        <f t="shared" si="5"/>
        <v>0</v>
      </c>
      <c r="BP24" s="68">
        <f t="shared" ref="BP24:EA24" si="6">SUM(BP4:BP23)</f>
        <v>0</v>
      </c>
      <c r="BQ24" s="68">
        <f t="shared" si="6"/>
        <v>0</v>
      </c>
      <c r="BR24" s="68">
        <f t="shared" si="6"/>
        <v>0</v>
      </c>
      <c r="BS24" s="68">
        <f t="shared" si="6"/>
        <v>0</v>
      </c>
      <c r="BT24" s="68">
        <f t="shared" si="6"/>
        <v>0</v>
      </c>
      <c r="BU24" s="68">
        <f t="shared" si="6"/>
        <v>0</v>
      </c>
      <c r="BV24" s="68">
        <f t="shared" si="6"/>
        <v>0</v>
      </c>
      <c r="BW24" s="68">
        <f t="shared" si="6"/>
        <v>0</v>
      </c>
      <c r="BX24" s="68">
        <f t="shared" si="6"/>
        <v>0</v>
      </c>
      <c r="BY24" s="68">
        <f t="shared" si="6"/>
        <v>0</v>
      </c>
      <c r="BZ24" s="68">
        <f t="shared" si="6"/>
        <v>0</v>
      </c>
      <c r="CA24" s="68">
        <f t="shared" si="6"/>
        <v>0</v>
      </c>
      <c r="CB24" s="68">
        <f t="shared" si="6"/>
        <v>0</v>
      </c>
      <c r="CC24" s="68">
        <f t="shared" si="6"/>
        <v>0</v>
      </c>
      <c r="CD24" s="68">
        <f t="shared" si="6"/>
        <v>0</v>
      </c>
      <c r="CE24" s="68">
        <f t="shared" si="6"/>
        <v>0</v>
      </c>
      <c r="CF24" s="68">
        <f t="shared" si="6"/>
        <v>0</v>
      </c>
      <c r="CG24" s="68">
        <f t="shared" si="6"/>
        <v>0</v>
      </c>
      <c r="CH24" s="68">
        <f t="shared" si="6"/>
        <v>0</v>
      </c>
      <c r="CI24" s="68">
        <f t="shared" si="6"/>
        <v>0</v>
      </c>
      <c r="CJ24" s="68">
        <f t="shared" si="6"/>
        <v>0</v>
      </c>
      <c r="CK24" s="68">
        <f t="shared" si="6"/>
        <v>0</v>
      </c>
      <c r="CL24" s="68">
        <f t="shared" si="6"/>
        <v>0</v>
      </c>
      <c r="CM24" s="68">
        <f t="shared" si="6"/>
        <v>0</v>
      </c>
      <c r="CN24" s="68">
        <f t="shared" si="6"/>
        <v>0</v>
      </c>
      <c r="CO24" s="68">
        <f t="shared" si="6"/>
        <v>0</v>
      </c>
      <c r="CP24" s="68">
        <f t="shared" si="6"/>
        <v>0</v>
      </c>
      <c r="CQ24" s="68">
        <f t="shared" si="6"/>
        <v>0</v>
      </c>
      <c r="CR24" s="68">
        <f t="shared" si="6"/>
        <v>0</v>
      </c>
      <c r="CS24" s="68">
        <f t="shared" si="6"/>
        <v>0</v>
      </c>
      <c r="CT24" s="68">
        <f t="shared" si="6"/>
        <v>0</v>
      </c>
      <c r="CU24" s="68">
        <f t="shared" si="6"/>
        <v>0</v>
      </c>
      <c r="CV24" s="68">
        <f t="shared" si="6"/>
        <v>0</v>
      </c>
      <c r="CW24" s="68">
        <f t="shared" si="6"/>
        <v>0</v>
      </c>
      <c r="CX24" s="68">
        <f t="shared" si="6"/>
        <v>0</v>
      </c>
      <c r="CY24" s="68">
        <f t="shared" si="6"/>
        <v>0</v>
      </c>
      <c r="CZ24" s="68">
        <f t="shared" si="6"/>
        <v>0</v>
      </c>
      <c r="DA24" s="68">
        <f t="shared" si="6"/>
        <v>0</v>
      </c>
      <c r="DB24" s="68">
        <f t="shared" si="6"/>
        <v>0</v>
      </c>
      <c r="DC24" s="68">
        <f t="shared" si="6"/>
        <v>0</v>
      </c>
      <c r="DD24" s="68">
        <f t="shared" si="6"/>
        <v>0</v>
      </c>
      <c r="DE24" s="68">
        <f t="shared" si="6"/>
        <v>0</v>
      </c>
      <c r="DF24" s="68">
        <f t="shared" si="6"/>
        <v>0</v>
      </c>
      <c r="DG24" s="68">
        <f t="shared" si="6"/>
        <v>0</v>
      </c>
      <c r="DH24" s="68">
        <f t="shared" si="6"/>
        <v>0</v>
      </c>
      <c r="DI24" s="68">
        <f t="shared" si="6"/>
        <v>0</v>
      </c>
      <c r="DJ24" s="68">
        <f t="shared" si="6"/>
        <v>0</v>
      </c>
      <c r="DK24" s="68">
        <f t="shared" si="6"/>
        <v>0</v>
      </c>
      <c r="DL24" s="68">
        <f t="shared" si="6"/>
        <v>0</v>
      </c>
      <c r="DM24" s="68">
        <f t="shared" si="6"/>
        <v>0</v>
      </c>
      <c r="DN24" s="68">
        <f t="shared" si="6"/>
        <v>0</v>
      </c>
      <c r="DO24" s="68">
        <f t="shared" si="6"/>
        <v>0</v>
      </c>
      <c r="DP24" s="68">
        <f t="shared" si="6"/>
        <v>0</v>
      </c>
      <c r="DQ24" s="68">
        <f t="shared" si="6"/>
        <v>0</v>
      </c>
      <c r="DR24" s="68">
        <f t="shared" si="6"/>
        <v>0</v>
      </c>
      <c r="DS24" s="68">
        <f t="shared" si="6"/>
        <v>0</v>
      </c>
      <c r="DT24" s="68">
        <f t="shared" si="6"/>
        <v>0</v>
      </c>
      <c r="DU24" s="68">
        <f t="shared" si="6"/>
        <v>0</v>
      </c>
      <c r="DV24" s="68">
        <f t="shared" si="6"/>
        <v>0</v>
      </c>
      <c r="DW24" s="68">
        <f t="shared" si="6"/>
        <v>0</v>
      </c>
      <c r="DX24" s="68">
        <f t="shared" si="6"/>
        <v>0</v>
      </c>
      <c r="DY24" s="68">
        <f t="shared" si="6"/>
        <v>0</v>
      </c>
      <c r="DZ24" s="68">
        <f t="shared" si="6"/>
        <v>0</v>
      </c>
      <c r="EA24" s="68">
        <f t="shared" si="6"/>
        <v>0</v>
      </c>
      <c r="EB24" s="68">
        <f t="shared" ref="EB24:GD24" si="7">SUM(EB4:EB23)</f>
        <v>0</v>
      </c>
      <c r="EC24" s="68">
        <f t="shared" si="7"/>
        <v>0</v>
      </c>
      <c r="ED24" s="68">
        <f t="shared" si="7"/>
        <v>0</v>
      </c>
      <c r="EE24" s="68">
        <f t="shared" si="7"/>
        <v>0</v>
      </c>
      <c r="EF24" s="68">
        <f t="shared" si="7"/>
        <v>0</v>
      </c>
      <c r="EG24" s="68">
        <f t="shared" si="7"/>
        <v>0</v>
      </c>
      <c r="EH24" s="68">
        <f t="shared" si="7"/>
        <v>0</v>
      </c>
      <c r="EI24" s="68">
        <f t="shared" si="7"/>
        <v>0</v>
      </c>
      <c r="EJ24" s="68">
        <f t="shared" si="7"/>
        <v>0</v>
      </c>
      <c r="EK24" s="68">
        <f t="shared" si="7"/>
        <v>0</v>
      </c>
      <c r="EL24" s="68">
        <f t="shared" si="7"/>
        <v>0</v>
      </c>
      <c r="EM24" s="68">
        <f t="shared" si="7"/>
        <v>0</v>
      </c>
      <c r="EN24" s="68">
        <f t="shared" si="7"/>
        <v>0</v>
      </c>
      <c r="EO24" s="68">
        <f t="shared" si="7"/>
        <v>0</v>
      </c>
      <c r="EP24" s="68">
        <f t="shared" si="7"/>
        <v>0</v>
      </c>
      <c r="EQ24" s="68">
        <f t="shared" si="7"/>
        <v>0</v>
      </c>
      <c r="ER24" s="68">
        <f t="shared" si="7"/>
        <v>0</v>
      </c>
      <c r="ES24" s="68">
        <f t="shared" si="7"/>
        <v>0</v>
      </c>
      <c r="ET24" s="68">
        <f t="shared" si="7"/>
        <v>0</v>
      </c>
      <c r="EU24" s="68">
        <f t="shared" si="7"/>
        <v>0</v>
      </c>
      <c r="EV24" s="68">
        <f t="shared" si="7"/>
        <v>0</v>
      </c>
      <c r="EW24" s="68">
        <f t="shared" si="7"/>
        <v>0</v>
      </c>
      <c r="EX24" s="68">
        <f t="shared" si="7"/>
        <v>0</v>
      </c>
      <c r="EY24" s="68">
        <f t="shared" si="7"/>
        <v>0</v>
      </c>
      <c r="EZ24" s="68">
        <f t="shared" si="7"/>
        <v>0</v>
      </c>
      <c r="FA24" s="68">
        <f t="shared" si="7"/>
        <v>0</v>
      </c>
      <c r="FB24" s="68">
        <f t="shared" si="7"/>
        <v>0</v>
      </c>
      <c r="FC24" s="68">
        <f t="shared" si="7"/>
        <v>0</v>
      </c>
      <c r="FD24" s="68">
        <f t="shared" si="7"/>
        <v>0</v>
      </c>
      <c r="FE24" s="68">
        <f t="shared" si="7"/>
        <v>0</v>
      </c>
      <c r="FF24" s="68">
        <f t="shared" si="7"/>
        <v>0</v>
      </c>
      <c r="FG24" s="68">
        <f t="shared" si="7"/>
        <v>0</v>
      </c>
      <c r="FH24" s="68">
        <f t="shared" si="7"/>
        <v>0</v>
      </c>
      <c r="FI24" s="68">
        <f t="shared" si="7"/>
        <v>0</v>
      </c>
      <c r="FJ24" s="68">
        <f t="shared" si="7"/>
        <v>0</v>
      </c>
      <c r="FK24" s="68">
        <f t="shared" si="7"/>
        <v>0</v>
      </c>
      <c r="FL24" s="68">
        <f t="shared" si="7"/>
        <v>0</v>
      </c>
      <c r="FM24" s="68">
        <f t="shared" si="7"/>
        <v>0</v>
      </c>
      <c r="FN24" s="68">
        <f t="shared" si="7"/>
        <v>0</v>
      </c>
      <c r="FO24" s="68">
        <f t="shared" si="7"/>
        <v>0</v>
      </c>
      <c r="FP24" s="68">
        <f t="shared" si="7"/>
        <v>0</v>
      </c>
      <c r="FQ24" s="68">
        <f t="shared" si="7"/>
        <v>0</v>
      </c>
      <c r="FR24" s="68">
        <f t="shared" si="7"/>
        <v>0</v>
      </c>
      <c r="FS24" s="68">
        <f t="shared" si="7"/>
        <v>0</v>
      </c>
      <c r="FT24" s="68">
        <f t="shared" si="7"/>
        <v>0</v>
      </c>
      <c r="FU24" s="68">
        <f t="shared" si="7"/>
        <v>0</v>
      </c>
      <c r="FV24" s="68">
        <f t="shared" si="7"/>
        <v>0</v>
      </c>
      <c r="FW24" s="68">
        <f t="shared" si="7"/>
        <v>0</v>
      </c>
      <c r="FX24" s="68">
        <f t="shared" si="7"/>
        <v>0</v>
      </c>
      <c r="FY24" s="68">
        <f t="shared" si="7"/>
        <v>0</v>
      </c>
      <c r="FZ24" s="68">
        <f t="shared" si="7"/>
        <v>0</v>
      </c>
      <c r="GA24" s="68">
        <f t="shared" si="7"/>
        <v>0</v>
      </c>
      <c r="GB24" s="68">
        <f t="shared" si="7"/>
        <v>0</v>
      </c>
      <c r="GC24" s="68">
        <f t="shared" si="7"/>
        <v>0</v>
      </c>
      <c r="GD24" s="12">
        <f t="shared" si="7"/>
        <v>0</v>
      </c>
      <c r="GE24" s="110"/>
      <c r="GF24" s="111">
        <f>SUM(GF4:GF23)</f>
        <v>0</v>
      </c>
      <c r="GG24" s="112" t="e">
        <f>GF24/GD24</f>
        <v>#DIV/0!</v>
      </c>
    </row>
    <row r="25" spans="1:189" ht="20.100000000000001" customHeight="1">
      <c r="A25" s="282" t="s">
        <v>49</v>
      </c>
      <c r="B25" s="282"/>
      <c r="C25" s="133">
        <f t="shared" ref="C25:AH25" si="8">COUNTIF(評価履歴,C3)</f>
        <v>0</v>
      </c>
      <c r="D25" s="134">
        <f t="shared" si="8"/>
        <v>0</v>
      </c>
      <c r="E25" s="134">
        <f t="shared" si="8"/>
        <v>0</v>
      </c>
      <c r="F25" s="134">
        <f t="shared" si="8"/>
        <v>0</v>
      </c>
      <c r="G25" s="134">
        <f t="shared" si="8"/>
        <v>0</v>
      </c>
      <c r="H25" s="134">
        <f t="shared" si="8"/>
        <v>0</v>
      </c>
      <c r="I25" s="134">
        <f t="shared" si="8"/>
        <v>0</v>
      </c>
      <c r="J25" s="134">
        <f t="shared" si="8"/>
        <v>0</v>
      </c>
      <c r="K25" s="134">
        <f t="shared" si="8"/>
        <v>0</v>
      </c>
      <c r="L25" s="134">
        <f t="shared" si="8"/>
        <v>0</v>
      </c>
      <c r="M25" s="134">
        <f t="shared" si="8"/>
        <v>0</v>
      </c>
      <c r="N25" s="134">
        <f t="shared" si="8"/>
        <v>0</v>
      </c>
      <c r="O25" s="134">
        <f t="shared" si="8"/>
        <v>0</v>
      </c>
      <c r="P25" s="134">
        <f t="shared" si="8"/>
        <v>0</v>
      </c>
      <c r="Q25" s="134">
        <f t="shared" si="8"/>
        <v>0</v>
      </c>
      <c r="R25" s="134">
        <f t="shared" si="8"/>
        <v>0</v>
      </c>
      <c r="S25" s="134">
        <f t="shared" si="8"/>
        <v>0</v>
      </c>
      <c r="T25" s="134">
        <f t="shared" si="8"/>
        <v>0</v>
      </c>
      <c r="U25" s="134">
        <f t="shared" si="8"/>
        <v>0</v>
      </c>
      <c r="V25" s="134">
        <f t="shared" si="8"/>
        <v>0</v>
      </c>
      <c r="W25" s="134">
        <f t="shared" si="8"/>
        <v>0</v>
      </c>
      <c r="X25" s="134">
        <f t="shared" si="8"/>
        <v>0</v>
      </c>
      <c r="Y25" s="134">
        <f t="shared" si="8"/>
        <v>0</v>
      </c>
      <c r="Z25" s="134">
        <f t="shared" si="8"/>
        <v>0</v>
      </c>
      <c r="AA25" s="134">
        <f t="shared" si="8"/>
        <v>0</v>
      </c>
      <c r="AB25" s="134">
        <f t="shared" si="8"/>
        <v>0</v>
      </c>
      <c r="AC25" s="134">
        <f t="shared" si="8"/>
        <v>0</v>
      </c>
      <c r="AD25" s="134">
        <f t="shared" si="8"/>
        <v>0</v>
      </c>
      <c r="AE25" s="134">
        <f t="shared" si="8"/>
        <v>0</v>
      </c>
      <c r="AF25" s="134">
        <f t="shared" si="8"/>
        <v>0</v>
      </c>
      <c r="AG25" s="134">
        <f t="shared" si="8"/>
        <v>0</v>
      </c>
      <c r="AH25" s="134">
        <f t="shared" si="8"/>
        <v>0</v>
      </c>
      <c r="AI25" s="134">
        <f t="shared" ref="AI25:BN25" si="9">COUNTIF(評価履歴,AI3)</f>
        <v>0</v>
      </c>
      <c r="AJ25" s="134">
        <f t="shared" si="9"/>
        <v>0</v>
      </c>
      <c r="AK25" s="134">
        <f t="shared" si="9"/>
        <v>0</v>
      </c>
      <c r="AL25" s="134">
        <f t="shared" si="9"/>
        <v>0</v>
      </c>
      <c r="AM25" s="134">
        <f t="shared" si="9"/>
        <v>0</v>
      </c>
      <c r="AN25" s="134">
        <f t="shared" si="9"/>
        <v>0</v>
      </c>
      <c r="AO25" s="134">
        <f t="shared" si="9"/>
        <v>0</v>
      </c>
      <c r="AP25" s="134">
        <f t="shared" si="9"/>
        <v>0</v>
      </c>
      <c r="AQ25" s="134">
        <f t="shared" si="9"/>
        <v>0</v>
      </c>
      <c r="AR25" s="134">
        <f t="shared" si="9"/>
        <v>0</v>
      </c>
      <c r="AS25" s="134">
        <f t="shared" si="9"/>
        <v>0</v>
      </c>
      <c r="AT25" s="134">
        <f t="shared" si="9"/>
        <v>0</v>
      </c>
      <c r="AU25" s="134">
        <f t="shared" si="9"/>
        <v>0</v>
      </c>
      <c r="AV25" s="134">
        <f t="shared" si="9"/>
        <v>0</v>
      </c>
      <c r="AW25" s="134">
        <f t="shared" si="9"/>
        <v>0</v>
      </c>
      <c r="AX25" s="134">
        <f t="shared" si="9"/>
        <v>0</v>
      </c>
      <c r="AY25" s="134">
        <f t="shared" si="9"/>
        <v>0</v>
      </c>
      <c r="AZ25" s="134">
        <f t="shared" si="9"/>
        <v>0</v>
      </c>
      <c r="BA25" s="134">
        <f t="shared" si="9"/>
        <v>0</v>
      </c>
      <c r="BB25" s="134">
        <f t="shared" si="9"/>
        <v>0</v>
      </c>
      <c r="BC25" s="134">
        <f t="shared" si="9"/>
        <v>0</v>
      </c>
      <c r="BD25" s="134">
        <f t="shared" si="9"/>
        <v>0</v>
      </c>
      <c r="BE25" s="134">
        <f t="shared" si="9"/>
        <v>0</v>
      </c>
      <c r="BF25" s="134">
        <f t="shared" si="9"/>
        <v>0</v>
      </c>
      <c r="BG25" s="134">
        <f t="shared" si="9"/>
        <v>0</v>
      </c>
      <c r="BH25" s="134">
        <f t="shared" si="9"/>
        <v>0</v>
      </c>
      <c r="BI25" s="134">
        <f t="shared" si="9"/>
        <v>0</v>
      </c>
      <c r="BJ25" s="134">
        <f t="shared" si="9"/>
        <v>0</v>
      </c>
      <c r="BK25" s="134">
        <f t="shared" si="9"/>
        <v>0</v>
      </c>
      <c r="BL25" s="134">
        <f t="shared" si="9"/>
        <v>0</v>
      </c>
      <c r="BM25" s="134">
        <f t="shared" si="9"/>
        <v>0</v>
      </c>
      <c r="BN25" s="134">
        <f t="shared" si="9"/>
        <v>0</v>
      </c>
      <c r="BO25" s="134">
        <f t="shared" ref="BO25:CT25" si="10">COUNTIF(評価履歴,BO3)</f>
        <v>0</v>
      </c>
      <c r="BP25" s="134">
        <f t="shared" si="10"/>
        <v>0</v>
      </c>
      <c r="BQ25" s="134">
        <f t="shared" si="10"/>
        <v>0</v>
      </c>
      <c r="BR25" s="134">
        <f t="shared" si="10"/>
        <v>0</v>
      </c>
      <c r="BS25" s="134">
        <f t="shared" si="10"/>
        <v>0</v>
      </c>
      <c r="BT25" s="134">
        <f t="shared" si="10"/>
        <v>0</v>
      </c>
      <c r="BU25" s="134">
        <f t="shared" si="10"/>
        <v>0</v>
      </c>
      <c r="BV25" s="134">
        <f t="shared" si="10"/>
        <v>0</v>
      </c>
      <c r="BW25" s="134">
        <f t="shared" si="10"/>
        <v>0</v>
      </c>
      <c r="BX25" s="134">
        <f t="shared" si="10"/>
        <v>0</v>
      </c>
      <c r="BY25" s="134">
        <f t="shared" si="10"/>
        <v>0</v>
      </c>
      <c r="BZ25" s="134">
        <f t="shared" si="10"/>
        <v>0</v>
      </c>
      <c r="CA25" s="134">
        <f t="shared" si="10"/>
        <v>0</v>
      </c>
      <c r="CB25" s="134">
        <f t="shared" si="10"/>
        <v>0</v>
      </c>
      <c r="CC25" s="134">
        <f t="shared" si="10"/>
        <v>0</v>
      </c>
      <c r="CD25" s="134">
        <f t="shared" si="10"/>
        <v>0</v>
      </c>
      <c r="CE25" s="134">
        <f t="shared" si="10"/>
        <v>0</v>
      </c>
      <c r="CF25" s="134">
        <f t="shared" si="10"/>
        <v>0</v>
      </c>
      <c r="CG25" s="134">
        <f t="shared" si="10"/>
        <v>0</v>
      </c>
      <c r="CH25" s="134">
        <f t="shared" si="10"/>
        <v>0</v>
      </c>
      <c r="CI25" s="134">
        <f t="shared" si="10"/>
        <v>0</v>
      </c>
      <c r="CJ25" s="134">
        <f t="shared" si="10"/>
        <v>0</v>
      </c>
      <c r="CK25" s="134">
        <f t="shared" si="10"/>
        <v>0</v>
      </c>
      <c r="CL25" s="134">
        <f t="shared" si="10"/>
        <v>0</v>
      </c>
      <c r="CM25" s="134">
        <f t="shared" si="10"/>
        <v>0</v>
      </c>
      <c r="CN25" s="134">
        <f t="shared" si="10"/>
        <v>0</v>
      </c>
      <c r="CO25" s="134">
        <f t="shared" si="10"/>
        <v>0</v>
      </c>
      <c r="CP25" s="134">
        <f t="shared" si="10"/>
        <v>0</v>
      </c>
      <c r="CQ25" s="134">
        <f t="shared" si="10"/>
        <v>0</v>
      </c>
      <c r="CR25" s="134">
        <f t="shared" si="10"/>
        <v>0</v>
      </c>
      <c r="CS25" s="134">
        <f t="shared" si="10"/>
        <v>0</v>
      </c>
      <c r="CT25" s="134">
        <f t="shared" si="10"/>
        <v>0</v>
      </c>
      <c r="CU25" s="134">
        <f t="shared" ref="CU25:DZ25" si="11">COUNTIF(評価履歴,CU3)</f>
        <v>0</v>
      </c>
      <c r="CV25" s="134">
        <f t="shared" si="11"/>
        <v>0</v>
      </c>
      <c r="CW25" s="134">
        <f t="shared" si="11"/>
        <v>0</v>
      </c>
      <c r="CX25" s="134">
        <f t="shared" si="11"/>
        <v>0</v>
      </c>
      <c r="CY25" s="134">
        <f t="shared" si="11"/>
        <v>0</v>
      </c>
      <c r="CZ25" s="134">
        <f t="shared" si="11"/>
        <v>0</v>
      </c>
      <c r="DA25" s="134">
        <f t="shared" si="11"/>
        <v>0</v>
      </c>
      <c r="DB25" s="134">
        <f t="shared" si="11"/>
        <v>0</v>
      </c>
      <c r="DC25" s="134">
        <f t="shared" si="11"/>
        <v>0</v>
      </c>
      <c r="DD25" s="134">
        <f t="shared" si="11"/>
        <v>0</v>
      </c>
      <c r="DE25" s="134">
        <f t="shared" si="11"/>
        <v>0</v>
      </c>
      <c r="DF25" s="134">
        <f t="shared" si="11"/>
        <v>0</v>
      </c>
      <c r="DG25" s="134">
        <f t="shared" si="11"/>
        <v>0</v>
      </c>
      <c r="DH25" s="134">
        <f t="shared" si="11"/>
        <v>0</v>
      </c>
      <c r="DI25" s="134">
        <f t="shared" si="11"/>
        <v>0</v>
      </c>
      <c r="DJ25" s="134">
        <f t="shared" si="11"/>
        <v>0</v>
      </c>
      <c r="DK25" s="134">
        <f t="shared" si="11"/>
        <v>0</v>
      </c>
      <c r="DL25" s="134">
        <f t="shared" si="11"/>
        <v>0</v>
      </c>
      <c r="DM25" s="134">
        <f t="shared" si="11"/>
        <v>0</v>
      </c>
      <c r="DN25" s="134">
        <f t="shared" si="11"/>
        <v>0</v>
      </c>
      <c r="DO25" s="134">
        <f t="shared" si="11"/>
        <v>0</v>
      </c>
      <c r="DP25" s="134">
        <f t="shared" si="11"/>
        <v>0</v>
      </c>
      <c r="DQ25" s="134">
        <f t="shared" si="11"/>
        <v>0</v>
      </c>
      <c r="DR25" s="134">
        <f t="shared" si="11"/>
        <v>0</v>
      </c>
      <c r="DS25" s="134">
        <f t="shared" si="11"/>
        <v>0</v>
      </c>
      <c r="DT25" s="134">
        <f t="shared" si="11"/>
        <v>0</v>
      </c>
      <c r="DU25" s="134">
        <f t="shared" si="11"/>
        <v>0</v>
      </c>
      <c r="DV25" s="134">
        <f t="shared" si="11"/>
        <v>0</v>
      </c>
      <c r="DW25" s="134">
        <f t="shared" si="11"/>
        <v>0</v>
      </c>
      <c r="DX25" s="134">
        <f t="shared" si="11"/>
        <v>0</v>
      </c>
      <c r="DY25" s="134">
        <f t="shared" si="11"/>
        <v>0</v>
      </c>
      <c r="DZ25" s="134">
        <f t="shared" si="11"/>
        <v>0</v>
      </c>
      <c r="EA25" s="134">
        <f t="shared" ref="EA25:FF25" si="12">COUNTIF(評価履歴,EA3)</f>
        <v>0</v>
      </c>
      <c r="EB25" s="134">
        <f t="shared" si="12"/>
        <v>0</v>
      </c>
      <c r="EC25" s="134">
        <f t="shared" si="12"/>
        <v>0</v>
      </c>
      <c r="ED25" s="134">
        <f t="shared" si="12"/>
        <v>0</v>
      </c>
      <c r="EE25" s="134">
        <f t="shared" si="12"/>
        <v>0</v>
      </c>
      <c r="EF25" s="134">
        <f t="shared" si="12"/>
        <v>0</v>
      </c>
      <c r="EG25" s="134">
        <f t="shared" si="12"/>
        <v>0</v>
      </c>
      <c r="EH25" s="134">
        <f t="shared" si="12"/>
        <v>0</v>
      </c>
      <c r="EI25" s="134">
        <f t="shared" si="12"/>
        <v>0</v>
      </c>
      <c r="EJ25" s="134">
        <f t="shared" si="12"/>
        <v>0</v>
      </c>
      <c r="EK25" s="134">
        <f t="shared" si="12"/>
        <v>0</v>
      </c>
      <c r="EL25" s="134">
        <f t="shared" si="12"/>
        <v>0</v>
      </c>
      <c r="EM25" s="134">
        <f t="shared" si="12"/>
        <v>0</v>
      </c>
      <c r="EN25" s="134">
        <f t="shared" si="12"/>
        <v>0</v>
      </c>
      <c r="EO25" s="134">
        <f t="shared" si="12"/>
        <v>0</v>
      </c>
      <c r="EP25" s="134">
        <f t="shared" si="12"/>
        <v>0</v>
      </c>
      <c r="EQ25" s="134">
        <f t="shared" si="12"/>
        <v>0</v>
      </c>
      <c r="ER25" s="134">
        <f t="shared" si="12"/>
        <v>0</v>
      </c>
      <c r="ES25" s="134">
        <f t="shared" si="12"/>
        <v>0</v>
      </c>
      <c r="ET25" s="134">
        <f t="shared" si="12"/>
        <v>0</v>
      </c>
      <c r="EU25" s="134">
        <f t="shared" si="12"/>
        <v>0</v>
      </c>
      <c r="EV25" s="134">
        <f t="shared" si="12"/>
        <v>0</v>
      </c>
      <c r="EW25" s="134">
        <f t="shared" si="12"/>
        <v>0</v>
      </c>
      <c r="EX25" s="134">
        <f t="shared" si="12"/>
        <v>0</v>
      </c>
      <c r="EY25" s="134">
        <f t="shared" si="12"/>
        <v>0</v>
      </c>
      <c r="EZ25" s="134">
        <f t="shared" si="12"/>
        <v>0</v>
      </c>
      <c r="FA25" s="134">
        <f t="shared" si="12"/>
        <v>0</v>
      </c>
      <c r="FB25" s="134">
        <f t="shared" si="12"/>
        <v>0</v>
      </c>
      <c r="FC25" s="134">
        <f t="shared" si="12"/>
        <v>0</v>
      </c>
      <c r="FD25" s="134">
        <f t="shared" si="12"/>
        <v>0</v>
      </c>
      <c r="FE25" s="134">
        <f t="shared" si="12"/>
        <v>0</v>
      </c>
      <c r="FF25" s="134">
        <f t="shared" si="12"/>
        <v>0</v>
      </c>
      <c r="FG25" s="134">
        <f t="shared" ref="FG25:GC25" si="13">COUNTIF(評価履歴,FG3)</f>
        <v>0</v>
      </c>
      <c r="FH25" s="134">
        <f t="shared" si="13"/>
        <v>0</v>
      </c>
      <c r="FI25" s="134">
        <f t="shared" si="13"/>
        <v>0</v>
      </c>
      <c r="FJ25" s="134">
        <f t="shared" si="13"/>
        <v>0</v>
      </c>
      <c r="FK25" s="134">
        <f t="shared" si="13"/>
        <v>0</v>
      </c>
      <c r="FL25" s="134">
        <f t="shared" si="13"/>
        <v>0</v>
      </c>
      <c r="FM25" s="134">
        <f t="shared" si="13"/>
        <v>0</v>
      </c>
      <c r="FN25" s="134">
        <f t="shared" si="13"/>
        <v>0</v>
      </c>
      <c r="FO25" s="134">
        <f t="shared" si="13"/>
        <v>0</v>
      </c>
      <c r="FP25" s="134">
        <f t="shared" si="13"/>
        <v>0</v>
      </c>
      <c r="FQ25" s="134">
        <f t="shared" si="13"/>
        <v>0</v>
      </c>
      <c r="FR25" s="134">
        <f t="shared" si="13"/>
        <v>0</v>
      </c>
      <c r="FS25" s="134">
        <f t="shared" si="13"/>
        <v>0</v>
      </c>
      <c r="FT25" s="134">
        <f t="shared" si="13"/>
        <v>0</v>
      </c>
      <c r="FU25" s="134">
        <f t="shared" si="13"/>
        <v>0</v>
      </c>
      <c r="FV25" s="134">
        <f t="shared" si="13"/>
        <v>0</v>
      </c>
      <c r="FW25" s="134">
        <f t="shared" si="13"/>
        <v>0</v>
      </c>
      <c r="FX25" s="134">
        <f t="shared" si="13"/>
        <v>0</v>
      </c>
      <c r="FY25" s="134">
        <f t="shared" si="13"/>
        <v>0</v>
      </c>
      <c r="FZ25" s="134">
        <f t="shared" si="13"/>
        <v>0</v>
      </c>
      <c r="GA25" s="134">
        <f t="shared" si="13"/>
        <v>0</v>
      </c>
      <c r="GB25" s="134">
        <f t="shared" si="13"/>
        <v>0</v>
      </c>
      <c r="GC25" s="134">
        <f t="shared" si="13"/>
        <v>0</v>
      </c>
      <c r="GD25" s="139">
        <f>SUM(C25:GC25)</f>
        <v>0</v>
      </c>
    </row>
    <row r="26" spans="1:189" ht="20.100000000000001" customHeight="1">
      <c r="A26" s="88"/>
      <c r="B26" s="89" t="s">
        <v>50</v>
      </c>
      <c r="C26" s="280" t="s">
        <v>51</v>
      </c>
      <c r="D26" s="281"/>
      <c r="E26" s="281"/>
      <c r="F26" s="281"/>
      <c r="G26" s="281"/>
      <c r="H26" s="281"/>
      <c r="I26" s="281"/>
      <c r="J26" s="281"/>
      <c r="K26" s="281"/>
      <c r="L26" s="281"/>
      <c r="M26" s="281"/>
      <c r="N26" s="281"/>
      <c r="O26" s="281"/>
      <c r="P26" s="281"/>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144"/>
    </row>
    <row r="27" spans="1:189" ht="20.100000000000001" customHeight="1">
      <c r="B27" s="71" t="s">
        <v>52</v>
      </c>
      <c r="C27" s="97" t="s">
        <v>53</v>
      </c>
      <c r="D27" s="93"/>
    </row>
    <row r="28" spans="1:189" ht="20.100000000000001" customHeight="1">
      <c r="B28" s="71" t="s">
        <v>54</v>
      </c>
      <c r="C28" s="97" t="s">
        <v>55</v>
      </c>
      <c r="D28" s="93"/>
    </row>
    <row r="29" spans="1:189" ht="20.100000000000001" customHeight="1">
      <c r="B29" s="71" t="s">
        <v>56</v>
      </c>
      <c r="C29" s="97" t="s">
        <v>57</v>
      </c>
      <c r="D29" s="93"/>
    </row>
    <row r="30" spans="1:189" ht="20.100000000000001" customHeight="1">
      <c r="B30" s="71" t="s">
        <v>58</v>
      </c>
      <c r="C30" s="97" t="s">
        <v>59</v>
      </c>
      <c r="D30" s="93"/>
    </row>
    <row r="31" spans="1:189" ht="20.100000000000001" customHeight="1">
      <c r="B31" s="71" t="s">
        <v>60</v>
      </c>
      <c r="C31" s="97" t="s">
        <v>61</v>
      </c>
      <c r="D31" s="93"/>
    </row>
    <row r="32" spans="1:189" ht="20.100000000000001" customHeight="1">
      <c r="B32" s="71" t="s">
        <v>62</v>
      </c>
      <c r="C32" s="98" t="s">
        <v>63</v>
      </c>
      <c r="D32" s="94"/>
      <c r="E32" s="87"/>
      <c r="F32" s="87"/>
    </row>
    <row r="33" spans="2:4" ht="20.100000000000001" customHeight="1">
      <c r="B33" s="71" t="s">
        <v>64</v>
      </c>
      <c r="C33" s="97" t="s">
        <v>65</v>
      </c>
      <c r="D33" s="93"/>
    </row>
    <row r="34" spans="2:4" ht="20.100000000000001" customHeight="1">
      <c r="B34" s="71" t="s">
        <v>66</v>
      </c>
      <c r="C34" s="97" t="s">
        <v>67</v>
      </c>
      <c r="D34" s="93"/>
    </row>
    <row r="35" spans="2:4" ht="20.100000000000001" customHeight="1">
      <c r="B35" s="71" t="s">
        <v>68</v>
      </c>
      <c r="C35" s="97" t="s">
        <v>69</v>
      </c>
    </row>
    <row r="36" spans="2:4" ht="20.100000000000001" customHeight="1">
      <c r="B36" s="71" t="s">
        <v>70</v>
      </c>
      <c r="C36" s="97" t="s">
        <v>71</v>
      </c>
    </row>
    <row r="37" spans="2:4" ht="20.100000000000001" customHeight="1">
      <c r="B37" s="71" t="s">
        <v>72</v>
      </c>
      <c r="C37" s="97" t="s">
        <v>73</v>
      </c>
    </row>
  </sheetData>
  <mergeCells count="5">
    <mergeCell ref="A2:L2"/>
    <mergeCell ref="A3:B3"/>
    <mergeCell ref="A24:B24"/>
    <mergeCell ref="C26:P26"/>
    <mergeCell ref="A25:B25"/>
  </mergeCells>
  <phoneticPr fontId="1"/>
  <dataValidations xWindow="99" yWindow="447" count="5">
    <dataValidation type="date" operator="greaterThanOrEqual" allowBlank="1" showInputMessage="1" showErrorMessage="1" prompt="この日付_x000a_だけを入力_x000a_してください。" sqref="C3" xr:uid="{00000000-0002-0000-0100-000000000000}">
      <formula1>36892</formula1>
    </dataValidation>
    <dataValidation allowBlank="1" showInputMessage="1" showErrorMessage="1" prompt="このエリアは変更しないで下さい！" sqref="B26:B31" xr:uid="{00000000-0002-0000-0100-000001000000}"/>
    <dataValidation type="whole" operator="equal" allowBlank="1" showInputMessage="1" showErrorMessage="1" error="ここに日付は入力しないで下さい。_x000a_開始日より自動的に設定されます。" prompt="ここの日付は変更ないで下さい。_x000a_開始日より自動的に設定されます。" sqref="D3:GC3" xr:uid="{00000000-0002-0000-0100-000002000000}">
      <formula1>-9.99999999999999E+110</formula1>
    </dataValidation>
    <dataValidation type="whole" allowBlank="1" showInputMessage="1" showErrorMessage="1" sqref="N2" xr:uid="{00000000-0002-0000-0100-000003000000}">
      <formula1>1</formula1>
      <formula2>10</formula2>
    </dataValidation>
    <dataValidation type="list" allowBlank="1" showInputMessage="1" showErrorMessage="1" sqref="B4:B23" xr:uid="{00000000-0002-0000-0100-000004000000}">
      <formula1>評価者</formula1>
    </dataValidation>
  </dataValidations>
  <pageMargins left="0.39370078740157483" right="0.19685039370078741" top="0.59055118110236227" bottom="0.39370078740157483" header="0.51181102362204722" footer="0.51181102362204722"/>
  <pageSetup paperSize="9" scale="75" orientation="landscape" r:id="rId1"/>
  <headerFooter alignWithMargins="0">
    <oddHeader>&amp;R&amp;"Arial Black,標準"&amp;12PAGE :  &amp;P / &amp;N</oddHead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37"/>
  <sheetViews>
    <sheetView showGridLines="0" zoomScaleNormal="100" workbookViewId="0"/>
  </sheetViews>
  <sheetFormatPr defaultRowHeight="13.5" outlineLevelRow="1"/>
  <cols>
    <col min="1" max="1" width="4.625" customWidth="1"/>
    <col min="2" max="2" width="3.625" customWidth="1"/>
    <col min="3" max="3" width="26.75" customWidth="1"/>
    <col min="4" max="4" width="43" customWidth="1"/>
    <col min="5" max="5" width="9.625" customWidth="1"/>
    <col min="6" max="6" width="10.5" bestFit="1" customWidth="1"/>
    <col min="7" max="7" width="13.125" bestFit="1" customWidth="1"/>
    <col min="8" max="8" width="10.125" bestFit="1" customWidth="1"/>
  </cols>
  <sheetData>
    <row r="1" spans="2:6" ht="24.95" customHeight="1">
      <c r="F1" s="79">
        <v>43686</v>
      </c>
    </row>
    <row r="2" spans="2:6" ht="24.95" customHeight="1">
      <c r="B2" s="283" t="s">
        <v>74</v>
      </c>
      <c r="C2" s="284"/>
      <c r="D2" s="80"/>
      <c r="F2" s="81" t="s">
        <v>222</v>
      </c>
    </row>
    <row r="3" spans="2:6" ht="24.95" customHeight="1"/>
    <row r="4" spans="2:6" ht="24.95" customHeight="1">
      <c r="B4" s="285" t="s">
        <v>75</v>
      </c>
      <c r="C4" s="286"/>
      <c r="D4" s="181" t="s">
        <v>76</v>
      </c>
      <c r="E4" s="182" t="s">
        <v>77</v>
      </c>
    </row>
    <row r="5" spans="2:6" ht="24.95" customHeight="1">
      <c r="B5" s="183">
        <v>1</v>
      </c>
      <c r="C5" s="207" t="s">
        <v>216</v>
      </c>
      <c r="D5" s="184" t="s">
        <v>186</v>
      </c>
      <c r="E5" s="185">
        <f t="shared" ref="E5:E10" si="0">VALUE(LEFT(D5,2))</f>
        <v>1</v>
      </c>
    </row>
    <row r="6" spans="2:6" ht="24.95" customHeight="1">
      <c r="B6" s="183">
        <v>2</v>
      </c>
      <c r="C6" s="207" t="s">
        <v>217</v>
      </c>
      <c r="D6" s="184" t="s">
        <v>187</v>
      </c>
      <c r="E6" s="185">
        <f t="shared" si="0"/>
        <v>1</v>
      </c>
    </row>
    <row r="7" spans="2:6" ht="24.95" customHeight="1">
      <c r="B7" s="183">
        <v>3</v>
      </c>
      <c r="C7" s="207" t="s">
        <v>218</v>
      </c>
      <c r="D7" s="184" t="s">
        <v>188</v>
      </c>
      <c r="E7" s="185">
        <f t="shared" si="0"/>
        <v>1</v>
      </c>
    </row>
    <row r="8" spans="2:6" ht="24.95" customHeight="1">
      <c r="B8" s="183">
        <v>4</v>
      </c>
      <c r="C8" s="207" t="s">
        <v>219</v>
      </c>
      <c r="D8" s="186" t="s">
        <v>189</v>
      </c>
      <c r="E8" s="185">
        <f t="shared" si="0"/>
        <v>1</v>
      </c>
    </row>
    <row r="9" spans="2:6" ht="24.95" customHeight="1">
      <c r="B9" s="183">
        <v>5</v>
      </c>
      <c r="C9" s="207" t="s">
        <v>220</v>
      </c>
      <c r="D9" s="184" t="s">
        <v>190</v>
      </c>
      <c r="E9" s="185">
        <f t="shared" si="0"/>
        <v>1</v>
      </c>
    </row>
    <row r="10" spans="2:6" ht="24.95" customHeight="1">
      <c r="B10" s="187">
        <v>6</v>
      </c>
      <c r="C10" s="208" t="s">
        <v>221</v>
      </c>
      <c r="D10" s="188" t="s">
        <v>191</v>
      </c>
      <c r="E10" s="185">
        <f t="shared" si="0"/>
        <v>1</v>
      </c>
    </row>
    <row r="11" spans="2:6" ht="24.95" customHeight="1">
      <c r="B11" s="287" t="s">
        <v>80</v>
      </c>
      <c r="C11" s="281"/>
      <c r="D11" s="279"/>
      <c r="E11" s="189">
        <f>SUM(E5:E10)</f>
        <v>6</v>
      </c>
    </row>
    <row r="12" spans="2:6" ht="24.95" customHeight="1"/>
    <row r="13" spans="2:6" ht="24.95" customHeight="1">
      <c r="D13" s="82" t="s">
        <v>81</v>
      </c>
      <c r="E13" s="83" t="str">
        <f>IF(E10=0,"E",IF(E11&gt;=D17,"AA",IF(E11&gt;=D18,"A",IF(E11&gt;=D19,"B",IF(E11&gt;=D20,"C","D")))))</f>
        <v>D</v>
      </c>
    </row>
    <row r="14" spans="2:6" ht="24.95" customHeight="1">
      <c r="F14" s="84"/>
    </row>
    <row r="15" spans="2:6" ht="24.95" customHeight="1"/>
    <row r="16" spans="2:6" ht="24.95" customHeight="1">
      <c r="E16" s="85" t="s">
        <v>82</v>
      </c>
    </row>
    <row r="17" spans="1:9" ht="24.95" customHeight="1">
      <c r="D17" s="86">
        <v>36</v>
      </c>
      <c r="E17" s="86" t="s">
        <v>83</v>
      </c>
    </row>
    <row r="18" spans="1:9" ht="24.95" customHeight="1">
      <c r="D18" s="86">
        <v>32</v>
      </c>
      <c r="E18" s="86" t="s">
        <v>84</v>
      </c>
    </row>
    <row r="19" spans="1:9" ht="24.95" customHeight="1">
      <c r="D19" s="86">
        <v>26</v>
      </c>
      <c r="E19" s="86" t="s">
        <v>85</v>
      </c>
    </row>
    <row r="20" spans="1:9" ht="24.95" customHeight="1">
      <c r="D20" s="86">
        <v>15</v>
      </c>
      <c r="E20" s="86" t="s">
        <v>86</v>
      </c>
    </row>
    <row r="21" spans="1:9" ht="24.95" customHeight="1">
      <c r="D21" s="86">
        <v>15</v>
      </c>
      <c r="E21" s="86" t="s">
        <v>87</v>
      </c>
      <c r="G21" s="121"/>
      <c r="H21" s="123"/>
      <c r="I21" s="122"/>
    </row>
    <row r="22" spans="1:9" ht="15" customHeight="1">
      <c r="D22" s="85"/>
      <c r="E22" s="86"/>
      <c r="G22" s="121"/>
      <c r="H22" s="122"/>
      <c r="I22" s="122"/>
    </row>
    <row r="23" spans="1:9" ht="15" customHeight="1">
      <c r="G23" s="121"/>
      <c r="H23" s="122"/>
      <c r="I23" s="122"/>
    </row>
    <row r="24" spans="1:9" ht="15" customHeight="1">
      <c r="G24" s="121"/>
      <c r="H24" s="122"/>
      <c r="I24" s="122"/>
    </row>
    <row r="25" spans="1:9" ht="24.95" customHeight="1">
      <c r="B25" s="107"/>
      <c r="G25" s="121"/>
      <c r="H25" s="122"/>
      <c r="I25" s="122"/>
    </row>
    <row r="26" spans="1:9">
      <c r="B26" s="107"/>
      <c r="G26" s="121"/>
      <c r="H26" s="122"/>
      <c r="I26" s="122"/>
    </row>
    <row r="27" spans="1:9">
      <c r="G27" s="121"/>
      <c r="H27" s="122"/>
      <c r="I27" s="122"/>
    </row>
    <row r="28" spans="1:9">
      <c r="G28" s="121"/>
      <c r="H28" s="122"/>
      <c r="I28" s="122"/>
    </row>
    <row r="29" spans="1:9">
      <c r="G29" s="121"/>
      <c r="H29" s="122"/>
      <c r="I29" s="122"/>
    </row>
    <row r="30" spans="1:9" hidden="1" outlineLevel="1">
      <c r="A30" s="211"/>
      <c r="B30" s="211"/>
      <c r="C30" s="211"/>
      <c r="D30" s="211"/>
      <c r="E30" s="211"/>
      <c r="F30" s="211"/>
      <c r="G30" s="212"/>
      <c r="H30" s="213"/>
      <c r="I30" s="122"/>
    </row>
    <row r="31" spans="1:9" hidden="1" outlineLevel="1">
      <c r="A31" s="235" t="s">
        <v>223</v>
      </c>
      <c r="B31" s="236" t="s">
        <v>224</v>
      </c>
      <c r="C31" s="237"/>
      <c r="D31" s="238"/>
      <c r="E31" s="238"/>
      <c r="F31" s="239"/>
      <c r="G31" s="212"/>
      <c r="H31" s="211"/>
    </row>
    <row r="32" spans="1:9" hidden="1" outlineLevel="1">
      <c r="A32" s="240" t="s">
        <v>569</v>
      </c>
      <c r="B32" s="234" t="s">
        <v>568</v>
      </c>
      <c r="C32" s="242"/>
      <c r="D32" s="243"/>
      <c r="E32" s="243"/>
      <c r="F32" s="244"/>
      <c r="G32" s="234"/>
      <c r="H32" s="214"/>
    </row>
    <row r="33" spans="1:8" hidden="1" outlineLevel="1">
      <c r="A33" s="240" t="s">
        <v>570</v>
      </c>
      <c r="B33" s="241" t="s">
        <v>567</v>
      </c>
      <c r="C33" s="242"/>
      <c r="D33" s="243"/>
      <c r="E33" s="243"/>
      <c r="F33" s="244"/>
      <c r="G33" s="215"/>
      <c r="H33" s="216"/>
    </row>
    <row r="34" spans="1:8" hidden="1" outlineLevel="1">
      <c r="A34" s="240" t="s">
        <v>88</v>
      </c>
      <c r="B34" s="245" t="s">
        <v>89</v>
      </c>
      <c r="C34" s="242"/>
      <c r="D34" s="243"/>
      <c r="E34" s="243"/>
      <c r="F34" s="244"/>
      <c r="G34" s="217" t="s">
        <v>90</v>
      </c>
      <c r="H34" s="218"/>
    </row>
    <row r="35" spans="1:8" hidden="1" outlineLevel="1">
      <c r="A35" s="240" t="s">
        <v>91</v>
      </c>
      <c r="B35" s="288">
        <v>42893.76321759259</v>
      </c>
      <c r="C35" s="288"/>
      <c r="D35" s="288"/>
      <c r="E35" s="288"/>
      <c r="F35" s="289"/>
      <c r="G35" s="219">
        <v>42893.774895833332</v>
      </c>
      <c r="H35" s="217" t="s">
        <v>92</v>
      </c>
    </row>
    <row r="36" spans="1:8" hidden="1" outlineLevel="1">
      <c r="A36" s="240" t="s">
        <v>93</v>
      </c>
      <c r="B36" s="288">
        <v>42893.774907407409</v>
      </c>
      <c r="C36" s="288"/>
      <c r="D36" s="288"/>
      <c r="E36" s="288"/>
      <c r="F36" s="289"/>
      <c r="G36" s="219">
        <v>42893.774907407409</v>
      </c>
      <c r="H36" s="217" t="s">
        <v>94</v>
      </c>
    </row>
    <row r="37" spans="1:8" collapsed="1">
      <c r="A37" s="211"/>
      <c r="B37" s="211"/>
      <c r="C37" s="211"/>
      <c r="D37" s="211"/>
      <c r="E37" s="211"/>
      <c r="F37" s="211"/>
      <c r="G37" s="211"/>
      <c r="H37" s="211"/>
    </row>
  </sheetData>
  <mergeCells count="5">
    <mergeCell ref="B2:C2"/>
    <mergeCell ref="B4:C4"/>
    <mergeCell ref="B11:D11"/>
    <mergeCell ref="B35:F35"/>
    <mergeCell ref="B36:F36"/>
  </mergeCells>
  <phoneticPr fontId="1"/>
  <conditionalFormatting sqref="E13">
    <cfRule type="cellIs" dxfId="2" priority="7" stopIfTrue="1" operator="equal">
      <formula>"AA"</formula>
    </cfRule>
    <cfRule type="cellIs" dxfId="1" priority="8" stopIfTrue="1" operator="equal">
      <formula>"A"</formula>
    </cfRule>
    <cfRule type="cellIs" dxfId="0" priority="9" stopIfTrue="1" operator="between">
      <formula>"B"</formula>
      <formula>"C"</formula>
    </cfRule>
  </conditionalFormatting>
  <dataValidations count="6">
    <dataValidation type="list" allowBlank="1" showInputMessage="1" showErrorMessage="1" sqref="D5" xr:uid="{00000000-0002-0000-0200-000000000000}">
      <formula1>集計と金額</formula1>
    </dataValidation>
    <dataValidation type="list" allowBlank="1" showInputMessage="1" showErrorMessage="1" sqref="D7" xr:uid="{00000000-0002-0000-0200-000001000000}">
      <formula1>システムエラー</formula1>
    </dataValidation>
    <dataValidation type="list" allowBlank="1" showInputMessage="1" showErrorMessage="1" sqref="D6" xr:uid="{00000000-0002-0000-0200-000002000000}">
      <formula1>ファイル破壊</formula1>
    </dataValidation>
    <dataValidation type="list" allowBlank="1" showInputMessage="1" showErrorMessage="1" sqref="D8" xr:uid="{00000000-0002-0000-0200-000003000000}">
      <formula1>発生頻度</formula1>
    </dataValidation>
    <dataValidation type="list" allowBlank="1" showInputMessage="1" showErrorMessage="1" sqref="D9" xr:uid="{00000000-0002-0000-0200-000004000000}">
      <formula1>代替手段</formula1>
    </dataValidation>
    <dataValidation type="list" allowBlank="1" showInputMessage="1" showErrorMessage="1" sqref="D10" xr:uid="{00000000-0002-0000-0200-000005000000}">
      <formula1>障害内容の深刻度</formula1>
    </dataValidation>
  </dataValidations>
  <pageMargins left="0.75" right="0.75" top="1" bottom="1" header="0.51200000000000001" footer="0.51200000000000001"/>
  <pageSetup paperSize="9" orientation="portrait" horizontalDpi="0" verticalDpi="0"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9834A-BF65-454E-9085-C11525AEA680}">
  <dimension ref="B1:E185"/>
  <sheetViews>
    <sheetView workbookViewId="0"/>
  </sheetViews>
  <sheetFormatPr defaultRowHeight="13.5"/>
  <cols>
    <col min="1" max="1" width="4" style="248" customWidth="1"/>
    <col min="2" max="2" width="9" style="248"/>
    <col min="3" max="3" width="14.75" style="248" customWidth="1"/>
    <col min="4" max="4" width="41.75" style="248" customWidth="1"/>
    <col min="5" max="5" width="69.875" style="248" customWidth="1"/>
    <col min="6" max="16384" width="9" style="248"/>
  </cols>
  <sheetData>
    <row r="1" spans="2:5" ht="17.25">
      <c r="B1" s="247" t="s">
        <v>802</v>
      </c>
    </row>
    <row r="3" spans="2:5">
      <c r="B3" s="248" t="s">
        <v>803</v>
      </c>
    </row>
    <row r="4" spans="2:5">
      <c r="B4" s="248" t="s">
        <v>804</v>
      </c>
    </row>
    <row r="6" spans="2:5" ht="20.25" customHeight="1">
      <c r="B6" s="249" t="s">
        <v>805</v>
      </c>
      <c r="C6" s="249" t="s">
        <v>806</v>
      </c>
      <c r="D6" s="249" t="s">
        <v>807</v>
      </c>
      <c r="E6" s="249" t="s">
        <v>808</v>
      </c>
    </row>
    <row r="7" spans="2:5">
      <c r="B7" s="290" t="s">
        <v>809</v>
      </c>
      <c r="C7" s="290" t="s">
        <v>810</v>
      </c>
      <c r="D7" s="250" t="s">
        <v>811</v>
      </c>
      <c r="E7" s="250"/>
    </row>
    <row r="8" spans="2:5">
      <c r="B8" s="292"/>
      <c r="C8" s="291"/>
      <c r="D8" s="250"/>
      <c r="E8" s="250"/>
    </row>
    <row r="9" spans="2:5">
      <c r="B9" s="292"/>
      <c r="C9" s="290" t="s">
        <v>812</v>
      </c>
      <c r="D9" s="250" t="s">
        <v>813</v>
      </c>
      <c r="E9" s="250"/>
    </row>
    <row r="10" spans="2:5">
      <c r="B10" s="292"/>
      <c r="C10" s="292"/>
      <c r="D10" s="250" t="s">
        <v>814</v>
      </c>
      <c r="E10" s="250"/>
    </row>
    <row r="11" spans="2:5">
      <c r="B11" s="292"/>
      <c r="C11" s="292"/>
      <c r="D11" s="250" t="s">
        <v>815</v>
      </c>
      <c r="E11" s="250"/>
    </row>
    <row r="12" spans="2:5">
      <c r="B12" s="292"/>
      <c r="C12" s="292"/>
      <c r="D12" s="250" t="s">
        <v>816</v>
      </c>
      <c r="E12" s="250" t="s">
        <v>817</v>
      </c>
    </row>
    <row r="13" spans="2:5">
      <c r="B13" s="292"/>
      <c r="C13" s="292"/>
      <c r="D13" s="250"/>
      <c r="E13" s="250"/>
    </row>
    <row r="14" spans="2:5">
      <c r="B14" s="292"/>
      <c r="C14" s="291"/>
      <c r="D14" s="250"/>
      <c r="E14" s="250"/>
    </row>
    <row r="15" spans="2:5">
      <c r="B15" s="292"/>
      <c r="C15" s="290" t="s">
        <v>818</v>
      </c>
      <c r="D15" s="250" t="s">
        <v>819</v>
      </c>
      <c r="E15" s="250" t="s">
        <v>820</v>
      </c>
    </row>
    <row r="16" spans="2:5" ht="27">
      <c r="B16" s="292"/>
      <c r="C16" s="292"/>
      <c r="D16" s="251" t="s">
        <v>821</v>
      </c>
      <c r="E16" s="250"/>
    </row>
    <row r="17" spans="2:5">
      <c r="B17" s="292"/>
      <c r="C17" s="292"/>
      <c r="D17" s="251" t="s">
        <v>822</v>
      </c>
      <c r="E17" s="250"/>
    </row>
    <row r="18" spans="2:5">
      <c r="B18" s="292"/>
      <c r="C18" s="292"/>
      <c r="D18" s="250" t="s">
        <v>823</v>
      </c>
      <c r="E18" s="250"/>
    </row>
    <row r="19" spans="2:5">
      <c r="B19" s="292"/>
      <c r="C19" s="292"/>
      <c r="D19" s="250" t="s">
        <v>824</v>
      </c>
      <c r="E19" s="250" t="s">
        <v>825</v>
      </c>
    </row>
    <row r="20" spans="2:5">
      <c r="B20" s="292"/>
      <c r="C20" s="292"/>
      <c r="D20" s="250" t="s">
        <v>826</v>
      </c>
      <c r="E20" s="250" t="s">
        <v>827</v>
      </c>
    </row>
    <row r="21" spans="2:5">
      <c r="B21" s="292"/>
      <c r="C21" s="292"/>
      <c r="D21" s="250" t="s">
        <v>828</v>
      </c>
      <c r="E21" s="250" t="s">
        <v>829</v>
      </c>
    </row>
    <row r="22" spans="2:5">
      <c r="B22" s="292"/>
      <c r="C22" s="292"/>
      <c r="D22" s="250" t="s">
        <v>830</v>
      </c>
      <c r="E22" s="250" t="s">
        <v>831</v>
      </c>
    </row>
    <row r="23" spans="2:5">
      <c r="B23" s="292"/>
      <c r="C23" s="292"/>
      <c r="D23" s="250" t="s">
        <v>832</v>
      </c>
      <c r="E23" s="250"/>
    </row>
    <row r="24" spans="2:5">
      <c r="B24" s="292"/>
      <c r="C24" s="292"/>
      <c r="D24" s="250" t="s">
        <v>833</v>
      </c>
      <c r="E24" s="250"/>
    </row>
    <row r="25" spans="2:5" ht="27">
      <c r="B25" s="292"/>
      <c r="C25" s="292"/>
      <c r="D25" s="251" t="s">
        <v>834</v>
      </c>
      <c r="E25" s="250" t="s">
        <v>835</v>
      </c>
    </row>
    <row r="26" spans="2:5">
      <c r="B26" s="292"/>
      <c r="C26" s="292"/>
      <c r="D26" s="250" t="s">
        <v>836</v>
      </c>
      <c r="E26" s="250"/>
    </row>
    <row r="27" spans="2:5" ht="27">
      <c r="B27" s="292"/>
      <c r="C27" s="292"/>
      <c r="D27" s="251" t="s">
        <v>837</v>
      </c>
      <c r="E27" s="250"/>
    </row>
    <row r="28" spans="2:5">
      <c r="B28" s="292"/>
      <c r="C28" s="292"/>
      <c r="D28" s="251" t="s">
        <v>838</v>
      </c>
      <c r="E28" s="250"/>
    </row>
    <row r="29" spans="2:5">
      <c r="B29" s="292"/>
      <c r="C29" s="292"/>
      <c r="D29" s="251" t="s">
        <v>839</v>
      </c>
      <c r="E29" s="250"/>
    </row>
    <row r="30" spans="2:5">
      <c r="B30" s="292"/>
      <c r="C30" s="292"/>
      <c r="D30" s="251"/>
      <c r="E30" s="250"/>
    </row>
    <row r="31" spans="2:5">
      <c r="B31" s="292"/>
      <c r="C31" s="291"/>
      <c r="D31" s="250"/>
      <c r="E31" s="250"/>
    </row>
    <row r="32" spans="2:5">
      <c r="B32" s="292"/>
      <c r="C32" s="290" t="s">
        <v>840</v>
      </c>
      <c r="D32" s="250" t="s">
        <v>841</v>
      </c>
      <c r="E32" s="250"/>
    </row>
    <row r="33" spans="2:5">
      <c r="B33" s="292"/>
      <c r="C33" s="292"/>
      <c r="D33" s="250" t="s">
        <v>842</v>
      </c>
      <c r="E33" s="250"/>
    </row>
    <row r="34" spans="2:5">
      <c r="B34" s="292"/>
      <c r="C34" s="292"/>
      <c r="D34" s="250" t="s">
        <v>843</v>
      </c>
      <c r="E34" s="250"/>
    </row>
    <row r="35" spans="2:5">
      <c r="B35" s="292"/>
      <c r="C35" s="292"/>
      <c r="D35" s="250" t="s">
        <v>844</v>
      </c>
      <c r="E35" s="250"/>
    </row>
    <row r="36" spans="2:5">
      <c r="B36" s="292"/>
      <c r="C36" s="292"/>
      <c r="D36" s="250" t="s">
        <v>845</v>
      </c>
      <c r="E36" s="250"/>
    </row>
    <row r="37" spans="2:5">
      <c r="B37" s="292"/>
      <c r="C37" s="292"/>
      <c r="D37" s="250" t="s">
        <v>846</v>
      </c>
      <c r="E37" s="250"/>
    </row>
    <row r="38" spans="2:5">
      <c r="B38" s="292"/>
      <c r="C38" s="292"/>
      <c r="D38" s="250" t="s">
        <v>847</v>
      </c>
      <c r="E38" s="250"/>
    </row>
    <row r="39" spans="2:5">
      <c r="B39" s="292"/>
      <c r="C39" s="292"/>
      <c r="D39" s="250" t="s">
        <v>848</v>
      </c>
      <c r="E39" s="250" t="s">
        <v>849</v>
      </c>
    </row>
    <row r="40" spans="2:5" ht="27">
      <c r="B40" s="292"/>
      <c r="C40" s="292"/>
      <c r="D40" s="251" t="s">
        <v>850</v>
      </c>
      <c r="E40" s="250"/>
    </row>
    <row r="41" spans="2:5">
      <c r="B41" s="292"/>
      <c r="C41" s="292"/>
      <c r="D41" s="250" t="s">
        <v>836</v>
      </c>
      <c r="E41" s="250"/>
    </row>
    <row r="42" spans="2:5">
      <c r="B42" s="292"/>
      <c r="C42" s="292"/>
      <c r="D42" s="250" t="s">
        <v>851</v>
      </c>
      <c r="E42" s="250"/>
    </row>
    <row r="43" spans="2:5">
      <c r="B43" s="292"/>
      <c r="C43" s="292"/>
      <c r="D43" s="250" t="s">
        <v>852</v>
      </c>
      <c r="E43" s="250" t="s">
        <v>853</v>
      </c>
    </row>
    <row r="44" spans="2:5">
      <c r="B44" s="292"/>
      <c r="C44" s="292"/>
      <c r="D44" s="250" t="s">
        <v>854</v>
      </c>
      <c r="E44" s="250"/>
    </row>
    <row r="45" spans="2:5">
      <c r="B45" s="292"/>
      <c r="C45" s="292"/>
      <c r="D45" s="250" t="s">
        <v>855</v>
      </c>
      <c r="E45" s="250" t="s">
        <v>856</v>
      </c>
    </row>
    <row r="46" spans="2:5">
      <c r="B46" s="292"/>
      <c r="C46" s="292"/>
      <c r="D46" s="250" t="s">
        <v>857</v>
      </c>
      <c r="E46" s="250" t="s">
        <v>858</v>
      </c>
    </row>
    <row r="47" spans="2:5">
      <c r="B47" s="292"/>
      <c r="C47" s="292"/>
      <c r="D47" s="250" t="s">
        <v>859</v>
      </c>
      <c r="E47" s="250"/>
    </row>
    <row r="48" spans="2:5">
      <c r="B48" s="292"/>
      <c r="C48" s="292"/>
      <c r="D48" s="250"/>
      <c r="E48" s="250"/>
    </row>
    <row r="49" spans="2:5">
      <c r="B49" s="292"/>
      <c r="C49" s="292"/>
      <c r="D49" s="250"/>
      <c r="E49" s="250"/>
    </row>
    <row r="50" spans="2:5">
      <c r="B50" s="292"/>
      <c r="C50" s="291"/>
      <c r="D50" s="250"/>
      <c r="E50" s="250"/>
    </row>
    <row r="51" spans="2:5">
      <c r="B51" s="292"/>
      <c r="C51" s="290" t="s">
        <v>860</v>
      </c>
      <c r="D51" s="250" t="s">
        <v>818</v>
      </c>
      <c r="E51" s="250"/>
    </row>
    <row r="52" spans="2:5">
      <c r="B52" s="292"/>
      <c r="C52" s="292"/>
      <c r="D52" s="250" t="s">
        <v>861</v>
      </c>
      <c r="E52" s="250"/>
    </row>
    <row r="53" spans="2:5">
      <c r="B53" s="292"/>
      <c r="C53" s="292"/>
      <c r="D53" s="250" t="s">
        <v>862</v>
      </c>
      <c r="E53" s="250"/>
    </row>
    <row r="54" spans="2:5">
      <c r="B54" s="292"/>
      <c r="C54" s="291"/>
      <c r="D54" s="250"/>
      <c r="E54" s="250"/>
    </row>
    <row r="55" spans="2:5">
      <c r="B55" s="292"/>
      <c r="C55" s="290" t="s">
        <v>863</v>
      </c>
      <c r="D55" s="250" t="s">
        <v>864</v>
      </c>
      <c r="E55" s="250" t="s">
        <v>865</v>
      </c>
    </row>
    <row r="56" spans="2:5">
      <c r="B56" s="292"/>
      <c r="C56" s="292"/>
      <c r="D56" s="250" t="s">
        <v>866</v>
      </c>
      <c r="E56" s="250" t="s">
        <v>867</v>
      </c>
    </row>
    <row r="57" spans="2:5">
      <c r="B57" s="292"/>
      <c r="C57" s="292"/>
      <c r="D57" s="250" t="s">
        <v>840</v>
      </c>
      <c r="E57" s="250" t="s">
        <v>867</v>
      </c>
    </row>
    <row r="58" spans="2:5">
      <c r="B58" s="292"/>
      <c r="C58" s="292"/>
      <c r="D58" s="250" t="s">
        <v>868</v>
      </c>
      <c r="E58" s="250" t="s">
        <v>865</v>
      </c>
    </row>
    <row r="59" spans="2:5">
      <c r="B59" s="292"/>
      <c r="C59" s="291"/>
      <c r="D59" s="250"/>
      <c r="E59" s="250"/>
    </row>
    <row r="60" spans="2:5">
      <c r="B60" s="292"/>
      <c r="C60" s="290" t="s">
        <v>869</v>
      </c>
      <c r="D60" s="250" t="s">
        <v>870</v>
      </c>
      <c r="E60" s="250"/>
    </row>
    <row r="61" spans="2:5">
      <c r="B61" s="292"/>
      <c r="C61" s="292"/>
      <c r="D61" s="250" t="s">
        <v>871</v>
      </c>
      <c r="E61" s="250"/>
    </row>
    <row r="62" spans="2:5">
      <c r="B62" s="292"/>
      <c r="C62" s="292"/>
      <c r="D62" s="252" t="s">
        <v>872</v>
      </c>
      <c r="E62" s="250"/>
    </row>
    <row r="63" spans="2:5">
      <c r="B63" s="292"/>
      <c r="C63" s="292"/>
      <c r="D63" s="252" t="s">
        <v>873</v>
      </c>
      <c r="E63" s="250"/>
    </row>
    <row r="64" spans="2:5">
      <c r="B64" s="292"/>
      <c r="C64" s="292"/>
      <c r="D64" s="250" t="s">
        <v>874</v>
      </c>
      <c r="E64" s="250"/>
    </row>
    <row r="65" spans="2:5">
      <c r="B65" s="292"/>
      <c r="C65" s="292"/>
      <c r="D65" s="290" t="s">
        <v>816</v>
      </c>
      <c r="E65" s="251" t="s">
        <v>875</v>
      </c>
    </row>
    <row r="66" spans="2:5">
      <c r="B66" s="292"/>
      <c r="C66" s="292"/>
      <c r="D66" s="291"/>
      <c r="E66" s="250" t="s">
        <v>876</v>
      </c>
    </row>
    <row r="67" spans="2:5">
      <c r="B67" s="292"/>
      <c r="C67" s="292"/>
      <c r="D67" s="250" t="s">
        <v>877</v>
      </c>
      <c r="E67" s="250"/>
    </row>
    <row r="68" spans="2:5">
      <c r="B68" s="292"/>
      <c r="C68" s="292"/>
      <c r="D68" s="250"/>
      <c r="E68" s="250"/>
    </row>
    <row r="69" spans="2:5">
      <c r="B69" s="292"/>
      <c r="C69" s="292"/>
      <c r="D69" s="250" t="s">
        <v>878</v>
      </c>
      <c r="E69" s="250" t="s">
        <v>879</v>
      </c>
    </row>
    <row r="70" spans="2:5">
      <c r="B70" s="292"/>
      <c r="C70" s="292"/>
      <c r="D70" s="250"/>
      <c r="E70" s="250"/>
    </row>
    <row r="71" spans="2:5">
      <c r="B71" s="292"/>
      <c r="C71" s="292"/>
      <c r="D71" s="290" t="s">
        <v>880</v>
      </c>
      <c r="E71" s="250" t="s">
        <v>881</v>
      </c>
    </row>
    <row r="72" spans="2:5">
      <c r="B72" s="292"/>
      <c r="C72" s="292"/>
      <c r="D72" s="291"/>
      <c r="E72" s="250" t="s">
        <v>882</v>
      </c>
    </row>
    <row r="73" spans="2:5">
      <c r="B73" s="292"/>
      <c r="C73" s="291"/>
      <c r="D73" s="250"/>
      <c r="E73" s="250"/>
    </row>
    <row r="74" spans="2:5">
      <c r="B74" s="292"/>
      <c r="C74" s="290" t="s">
        <v>883</v>
      </c>
      <c r="D74" s="250" t="s">
        <v>884</v>
      </c>
      <c r="E74" s="250"/>
    </row>
    <row r="75" spans="2:5">
      <c r="B75" s="292"/>
      <c r="C75" s="292"/>
      <c r="D75" s="250" t="s">
        <v>885</v>
      </c>
      <c r="E75" s="250"/>
    </row>
    <row r="76" spans="2:5">
      <c r="B76" s="292"/>
      <c r="C76" s="292"/>
      <c r="D76" s="250"/>
      <c r="E76" s="250"/>
    </row>
    <row r="77" spans="2:5">
      <c r="B77" s="292"/>
      <c r="C77" s="291"/>
      <c r="D77" s="250"/>
      <c r="E77" s="250"/>
    </row>
    <row r="78" spans="2:5">
      <c r="B78" s="292"/>
      <c r="C78" s="290" t="s">
        <v>886</v>
      </c>
      <c r="D78" s="250" t="s">
        <v>887</v>
      </c>
      <c r="E78" s="250"/>
    </row>
    <row r="79" spans="2:5">
      <c r="B79" s="292"/>
      <c r="C79" s="292"/>
      <c r="D79" s="250" t="s">
        <v>888</v>
      </c>
      <c r="E79" s="250"/>
    </row>
    <row r="80" spans="2:5">
      <c r="B80" s="292"/>
      <c r="C80" s="292"/>
      <c r="D80" s="250" t="s">
        <v>889</v>
      </c>
      <c r="E80" s="250"/>
    </row>
    <row r="81" spans="2:5">
      <c r="B81" s="292"/>
      <c r="C81" s="292"/>
      <c r="D81" s="250"/>
      <c r="E81" s="250"/>
    </row>
    <row r="82" spans="2:5">
      <c r="B82" s="292"/>
      <c r="C82" s="292"/>
      <c r="D82" s="250"/>
      <c r="E82" s="250"/>
    </row>
    <row r="83" spans="2:5">
      <c r="B83" s="292"/>
      <c r="C83" s="292"/>
      <c r="D83" s="250"/>
      <c r="E83" s="250"/>
    </row>
    <row r="84" spans="2:5">
      <c r="B84" s="292"/>
      <c r="C84" s="291"/>
      <c r="D84" s="250"/>
      <c r="E84" s="250"/>
    </row>
    <row r="85" spans="2:5">
      <c r="B85" s="292"/>
      <c r="C85" s="290" t="s">
        <v>890</v>
      </c>
      <c r="D85" s="250" t="s">
        <v>891</v>
      </c>
      <c r="E85" s="250"/>
    </row>
    <row r="86" spans="2:5">
      <c r="B86" s="292"/>
      <c r="C86" s="292"/>
      <c r="D86" s="250" t="s">
        <v>892</v>
      </c>
      <c r="E86" s="250" t="s">
        <v>893</v>
      </c>
    </row>
    <row r="87" spans="2:5">
      <c r="B87" s="292"/>
      <c r="C87" s="292"/>
      <c r="D87" s="250" t="s">
        <v>894</v>
      </c>
      <c r="E87" s="250" t="s">
        <v>895</v>
      </c>
    </row>
    <row r="88" spans="2:5" ht="27">
      <c r="B88" s="292"/>
      <c r="C88" s="292"/>
      <c r="D88" s="251" t="s">
        <v>896</v>
      </c>
      <c r="E88" s="250"/>
    </row>
    <row r="89" spans="2:5">
      <c r="B89" s="292"/>
      <c r="C89" s="292"/>
      <c r="D89" s="250" t="s">
        <v>897</v>
      </c>
      <c r="E89" s="250" t="s">
        <v>898</v>
      </c>
    </row>
    <row r="90" spans="2:5">
      <c r="B90" s="292"/>
      <c r="C90" s="291"/>
      <c r="D90" s="250"/>
      <c r="E90" s="250"/>
    </row>
    <row r="91" spans="2:5">
      <c r="B91" s="292"/>
      <c r="C91" s="290" t="s">
        <v>899</v>
      </c>
      <c r="D91" s="250" t="s">
        <v>900</v>
      </c>
      <c r="E91" s="250"/>
    </row>
    <row r="92" spans="2:5">
      <c r="B92" s="292"/>
      <c r="C92" s="292"/>
      <c r="D92" s="250"/>
      <c r="E92" s="250"/>
    </row>
    <row r="93" spans="2:5">
      <c r="B93" s="292"/>
      <c r="C93" s="292"/>
      <c r="D93" s="250"/>
      <c r="E93" s="250"/>
    </row>
    <row r="94" spans="2:5">
      <c r="B94" s="292"/>
      <c r="C94" s="291"/>
      <c r="D94" s="250"/>
      <c r="E94" s="250"/>
    </row>
    <row r="95" spans="2:5">
      <c r="B95" s="292"/>
      <c r="C95" s="290" t="s">
        <v>864</v>
      </c>
      <c r="D95" s="250" t="s">
        <v>901</v>
      </c>
      <c r="E95" s="250"/>
    </row>
    <row r="96" spans="2:5">
      <c r="B96" s="292"/>
      <c r="C96" s="292"/>
      <c r="D96" s="250" t="s">
        <v>902</v>
      </c>
      <c r="E96" s="250" t="s">
        <v>903</v>
      </c>
    </row>
    <row r="97" spans="2:5">
      <c r="B97" s="292"/>
      <c r="C97" s="292"/>
      <c r="D97" s="250" t="s">
        <v>904</v>
      </c>
      <c r="E97" s="250" t="s">
        <v>905</v>
      </c>
    </row>
    <row r="98" spans="2:5">
      <c r="B98" s="292"/>
      <c r="C98" s="292"/>
      <c r="D98" s="250" t="s">
        <v>906</v>
      </c>
      <c r="E98" s="250" t="s">
        <v>907</v>
      </c>
    </row>
    <row r="99" spans="2:5">
      <c r="B99" s="292"/>
      <c r="C99" s="292"/>
      <c r="D99" s="251" t="s">
        <v>908</v>
      </c>
      <c r="E99" s="250" t="s">
        <v>909</v>
      </c>
    </row>
    <row r="100" spans="2:5">
      <c r="B100" s="292"/>
      <c r="C100" s="292"/>
      <c r="D100" s="250" t="s">
        <v>910</v>
      </c>
      <c r="E100" s="250"/>
    </row>
    <row r="101" spans="2:5">
      <c r="B101" s="292"/>
      <c r="C101" s="292"/>
      <c r="D101" s="250" t="s">
        <v>911</v>
      </c>
      <c r="E101" s="250"/>
    </row>
    <row r="102" spans="2:5">
      <c r="B102" s="292"/>
      <c r="C102" s="292"/>
      <c r="D102" s="250" t="s">
        <v>912</v>
      </c>
      <c r="E102" s="250"/>
    </row>
    <row r="103" spans="2:5">
      <c r="B103" s="292"/>
      <c r="C103" s="292"/>
      <c r="D103" s="250" t="s">
        <v>913</v>
      </c>
      <c r="E103" s="250" t="s">
        <v>914</v>
      </c>
    </row>
    <row r="104" spans="2:5">
      <c r="B104" s="292"/>
      <c r="C104" s="292"/>
      <c r="D104" s="250"/>
      <c r="E104" s="250"/>
    </row>
    <row r="105" spans="2:5">
      <c r="B105" s="292"/>
      <c r="C105" s="292"/>
      <c r="D105" s="250"/>
      <c r="E105" s="250"/>
    </row>
    <row r="106" spans="2:5">
      <c r="B106" s="292"/>
      <c r="C106" s="292"/>
      <c r="D106" s="250"/>
      <c r="E106" s="250"/>
    </row>
    <row r="107" spans="2:5">
      <c r="B107" s="292"/>
      <c r="C107" s="292"/>
      <c r="D107" s="250"/>
      <c r="E107" s="250"/>
    </row>
    <row r="108" spans="2:5">
      <c r="B108" s="292"/>
      <c r="C108" s="291"/>
      <c r="D108" s="250"/>
      <c r="E108" s="250"/>
    </row>
    <row r="109" spans="2:5">
      <c r="B109" s="292"/>
      <c r="C109" s="290" t="s">
        <v>915</v>
      </c>
      <c r="D109" s="250" t="s">
        <v>916</v>
      </c>
      <c r="E109" s="250" t="s">
        <v>917</v>
      </c>
    </row>
    <row r="110" spans="2:5">
      <c r="B110" s="292"/>
      <c r="C110" s="292"/>
      <c r="D110" s="250"/>
      <c r="E110" s="250" t="s">
        <v>918</v>
      </c>
    </row>
    <row r="111" spans="2:5">
      <c r="B111" s="292"/>
      <c r="C111" s="291"/>
      <c r="D111" s="250"/>
      <c r="E111" s="250"/>
    </row>
    <row r="112" spans="2:5">
      <c r="B112" s="292"/>
      <c r="C112" s="290" t="s">
        <v>919</v>
      </c>
      <c r="D112" s="250" t="s">
        <v>920</v>
      </c>
      <c r="E112" s="250"/>
    </row>
    <row r="113" spans="2:5">
      <c r="B113" s="292"/>
      <c r="C113" s="291"/>
      <c r="D113" s="250"/>
      <c r="E113" s="250"/>
    </row>
    <row r="114" spans="2:5">
      <c r="B114" s="292"/>
      <c r="C114" s="290" t="s">
        <v>921</v>
      </c>
      <c r="D114" s="251" t="s">
        <v>922</v>
      </c>
      <c r="E114" s="250"/>
    </row>
    <row r="115" spans="2:5" ht="27">
      <c r="B115" s="292"/>
      <c r="C115" s="292"/>
      <c r="D115" s="251" t="s">
        <v>923</v>
      </c>
      <c r="E115" s="250"/>
    </row>
    <row r="116" spans="2:5">
      <c r="B116" s="292"/>
      <c r="C116" s="292"/>
      <c r="D116" s="251" t="s">
        <v>924</v>
      </c>
      <c r="E116" s="250"/>
    </row>
    <row r="117" spans="2:5">
      <c r="B117" s="292"/>
      <c r="C117" s="291"/>
      <c r="D117" s="250"/>
      <c r="E117" s="250"/>
    </row>
    <row r="118" spans="2:5">
      <c r="B118" s="292"/>
      <c r="C118" s="290" t="s">
        <v>925</v>
      </c>
      <c r="D118" s="250" t="s">
        <v>926</v>
      </c>
      <c r="E118" s="250"/>
    </row>
    <row r="119" spans="2:5">
      <c r="B119" s="292"/>
      <c r="C119" s="292"/>
      <c r="D119" s="250"/>
      <c r="E119" s="250"/>
    </row>
    <row r="120" spans="2:5">
      <c r="B120" s="292"/>
      <c r="C120" s="291"/>
      <c r="D120" s="250"/>
      <c r="E120" s="250"/>
    </row>
    <row r="121" spans="2:5">
      <c r="B121" s="292"/>
      <c r="C121" s="290" t="s">
        <v>927</v>
      </c>
      <c r="D121" s="250" t="s">
        <v>928</v>
      </c>
      <c r="E121" s="250"/>
    </row>
    <row r="122" spans="2:5" ht="27">
      <c r="B122" s="292"/>
      <c r="C122" s="292"/>
      <c r="D122" s="251" t="s">
        <v>929</v>
      </c>
      <c r="E122" s="250"/>
    </row>
    <row r="123" spans="2:5">
      <c r="B123" s="292"/>
      <c r="C123" s="292"/>
      <c r="D123" s="250" t="s">
        <v>930</v>
      </c>
      <c r="E123" s="250" t="s">
        <v>931</v>
      </c>
    </row>
    <row r="124" spans="2:5">
      <c r="B124" s="292"/>
      <c r="C124" s="291"/>
      <c r="D124" s="250"/>
      <c r="E124" s="250"/>
    </row>
    <row r="125" spans="2:5">
      <c r="B125" s="292"/>
      <c r="C125" s="290" t="s">
        <v>932</v>
      </c>
      <c r="D125" s="250" t="s">
        <v>933</v>
      </c>
      <c r="E125" s="250"/>
    </row>
    <row r="126" spans="2:5">
      <c r="B126" s="292"/>
      <c r="C126" s="291"/>
      <c r="D126" s="250"/>
      <c r="E126" s="250"/>
    </row>
    <row r="127" spans="2:5">
      <c r="B127" s="292"/>
      <c r="C127" s="290" t="s">
        <v>934</v>
      </c>
      <c r="D127" s="250" t="s">
        <v>935</v>
      </c>
      <c r="E127" s="250"/>
    </row>
    <row r="128" spans="2:5">
      <c r="B128" s="292"/>
      <c r="C128" s="292"/>
      <c r="D128" s="250"/>
      <c r="E128" s="250"/>
    </row>
    <row r="129" spans="2:5">
      <c r="B129" s="292"/>
      <c r="C129" s="291"/>
      <c r="D129" s="250"/>
      <c r="E129" s="250"/>
    </row>
    <row r="130" spans="2:5">
      <c r="B130" s="292"/>
      <c r="C130" s="290" t="s">
        <v>936</v>
      </c>
      <c r="D130" s="250" t="s">
        <v>937</v>
      </c>
      <c r="E130" s="250"/>
    </row>
    <row r="131" spans="2:5">
      <c r="B131" s="292"/>
      <c r="C131" s="291"/>
      <c r="D131" s="250"/>
      <c r="E131" s="250"/>
    </row>
    <row r="132" spans="2:5">
      <c r="B132" s="292"/>
      <c r="C132" s="290" t="s">
        <v>938</v>
      </c>
      <c r="D132" s="250" t="s">
        <v>939</v>
      </c>
      <c r="E132" s="250"/>
    </row>
    <row r="133" spans="2:5">
      <c r="B133" s="292"/>
      <c r="C133" s="292"/>
      <c r="D133" s="250"/>
      <c r="E133" s="250"/>
    </row>
    <row r="134" spans="2:5">
      <c r="B134" s="292"/>
      <c r="C134" s="292"/>
      <c r="D134" s="250"/>
      <c r="E134" s="250"/>
    </row>
    <row r="135" spans="2:5">
      <c r="B135" s="292"/>
      <c r="C135" s="292"/>
      <c r="D135" s="250"/>
      <c r="E135" s="250"/>
    </row>
    <row r="136" spans="2:5">
      <c r="B136" s="292"/>
      <c r="C136" s="292"/>
      <c r="D136" s="250"/>
      <c r="E136" s="250"/>
    </row>
    <row r="137" spans="2:5">
      <c r="B137" s="292"/>
      <c r="C137" s="292"/>
      <c r="D137" s="250"/>
      <c r="E137" s="250"/>
    </row>
    <row r="138" spans="2:5">
      <c r="B138" s="292"/>
      <c r="C138" s="292"/>
      <c r="D138" s="250"/>
      <c r="E138" s="250"/>
    </row>
    <row r="139" spans="2:5">
      <c r="B139" s="292"/>
      <c r="C139" s="292"/>
      <c r="D139" s="250"/>
      <c r="E139" s="250"/>
    </row>
    <row r="140" spans="2:5">
      <c r="B140" s="292"/>
      <c r="C140" s="291"/>
      <c r="D140" s="250"/>
      <c r="E140" s="250"/>
    </row>
    <row r="141" spans="2:5">
      <c r="B141" s="292"/>
      <c r="C141" s="290" t="s">
        <v>940</v>
      </c>
      <c r="D141" s="250" t="s">
        <v>941</v>
      </c>
      <c r="E141" s="250"/>
    </row>
    <row r="142" spans="2:5">
      <c r="B142" s="292"/>
      <c r="C142" s="292"/>
      <c r="D142" s="250"/>
      <c r="E142" s="250"/>
    </row>
    <row r="143" spans="2:5">
      <c r="B143" s="292"/>
      <c r="C143" s="292"/>
      <c r="D143" s="250"/>
      <c r="E143" s="250"/>
    </row>
    <row r="144" spans="2:5">
      <c r="B144" s="291"/>
      <c r="C144" s="291"/>
      <c r="D144" s="250"/>
      <c r="E144" s="250"/>
    </row>
    <row r="145" spans="2:5">
      <c r="B145" s="290" t="s">
        <v>942</v>
      </c>
      <c r="C145" s="253" t="s">
        <v>943</v>
      </c>
      <c r="D145" s="250" t="s">
        <v>819</v>
      </c>
      <c r="E145" s="250" t="s">
        <v>944</v>
      </c>
    </row>
    <row r="146" spans="2:5">
      <c r="B146" s="292"/>
      <c r="C146" s="254"/>
      <c r="D146" s="250" t="s">
        <v>832</v>
      </c>
      <c r="E146" s="250"/>
    </row>
    <row r="147" spans="2:5">
      <c r="B147" s="292"/>
      <c r="C147" s="254"/>
      <c r="D147" s="250" t="s">
        <v>833</v>
      </c>
      <c r="E147" s="250"/>
    </row>
    <row r="148" spans="2:5">
      <c r="B148" s="292"/>
      <c r="C148" s="254"/>
      <c r="D148" s="250"/>
      <c r="E148" s="250"/>
    </row>
    <row r="149" spans="2:5">
      <c r="B149" s="292"/>
      <c r="C149" s="254"/>
      <c r="D149" s="250" t="s">
        <v>945</v>
      </c>
      <c r="E149" s="250"/>
    </row>
    <row r="150" spans="2:5">
      <c r="B150" s="292"/>
      <c r="C150" s="254"/>
      <c r="D150" s="250" t="s">
        <v>946</v>
      </c>
      <c r="E150" s="250"/>
    </row>
    <row r="151" spans="2:5">
      <c r="B151" s="292"/>
      <c r="C151" s="254"/>
      <c r="D151" s="250"/>
      <c r="E151" s="250"/>
    </row>
    <row r="152" spans="2:5">
      <c r="B152" s="292"/>
      <c r="C152" s="254"/>
      <c r="D152" s="250" t="s">
        <v>947</v>
      </c>
      <c r="E152" s="250"/>
    </row>
    <row r="153" spans="2:5">
      <c r="B153" s="292"/>
      <c r="C153" s="254"/>
      <c r="D153" s="250"/>
      <c r="E153" s="250"/>
    </row>
    <row r="154" spans="2:5">
      <c r="B154" s="292"/>
      <c r="C154" s="254"/>
      <c r="D154" s="250" t="s">
        <v>948</v>
      </c>
      <c r="E154" s="250" t="s">
        <v>949</v>
      </c>
    </row>
    <row r="155" spans="2:5">
      <c r="B155" s="292"/>
      <c r="C155" s="254"/>
      <c r="D155" s="250" t="s">
        <v>950</v>
      </c>
      <c r="E155" s="250" t="s">
        <v>951</v>
      </c>
    </row>
    <row r="156" spans="2:5">
      <c r="B156" s="292"/>
      <c r="C156" s="254"/>
      <c r="D156" s="250"/>
      <c r="E156" s="250"/>
    </row>
    <row r="157" spans="2:5">
      <c r="B157" s="292"/>
      <c r="C157" s="254"/>
      <c r="D157" s="250" t="s">
        <v>952</v>
      </c>
      <c r="E157" s="250"/>
    </row>
    <row r="158" spans="2:5">
      <c r="B158" s="292"/>
      <c r="C158" s="254"/>
      <c r="D158" s="250" t="s">
        <v>953</v>
      </c>
      <c r="E158" s="250"/>
    </row>
    <row r="159" spans="2:5">
      <c r="B159" s="292"/>
      <c r="C159" s="254"/>
      <c r="D159" s="250"/>
      <c r="E159" s="250"/>
    </row>
    <row r="160" spans="2:5">
      <c r="B160" s="292"/>
      <c r="C160" s="254"/>
      <c r="D160" s="250" t="s">
        <v>954</v>
      </c>
      <c r="E160" s="250"/>
    </row>
    <row r="161" spans="2:5">
      <c r="B161" s="292"/>
      <c r="C161" s="254"/>
      <c r="D161" s="250"/>
      <c r="E161" s="250"/>
    </row>
    <row r="162" spans="2:5">
      <c r="B162" s="292"/>
      <c r="C162" s="254"/>
      <c r="D162" s="250" t="s">
        <v>955</v>
      </c>
      <c r="E162" s="250"/>
    </row>
    <row r="163" spans="2:5">
      <c r="B163" s="292"/>
      <c r="C163" s="254"/>
      <c r="D163" s="250"/>
      <c r="E163" s="250"/>
    </row>
    <row r="164" spans="2:5">
      <c r="B164" s="292"/>
      <c r="C164" s="254"/>
      <c r="D164" s="250" t="s">
        <v>956</v>
      </c>
      <c r="E164" s="250" t="s">
        <v>957</v>
      </c>
    </row>
    <row r="165" spans="2:5">
      <c r="B165" s="292"/>
      <c r="C165" s="254"/>
      <c r="D165" s="250"/>
      <c r="E165" s="250"/>
    </row>
    <row r="166" spans="2:5">
      <c r="B166" s="292"/>
      <c r="C166" s="254"/>
      <c r="D166" s="250" t="s">
        <v>958</v>
      </c>
      <c r="E166" s="250" t="s">
        <v>959</v>
      </c>
    </row>
    <row r="167" spans="2:5">
      <c r="B167" s="292"/>
      <c r="C167" s="254"/>
      <c r="D167" s="250" t="s">
        <v>960</v>
      </c>
      <c r="E167" s="250"/>
    </row>
    <row r="168" spans="2:5">
      <c r="B168" s="292"/>
      <c r="C168" s="254"/>
      <c r="D168" s="250"/>
      <c r="E168" s="250"/>
    </row>
    <row r="169" spans="2:5" ht="27">
      <c r="B169" s="292"/>
      <c r="C169" s="255"/>
      <c r="D169" s="251" t="s">
        <v>961</v>
      </c>
      <c r="E169" s="250"/>
    </row>
    <row r="170" spans="2:5">
      <c r="B170" s="292"/>
      <c r="C170" s="256" t="s">
        <v>962</v>
      </c>
      <c r="D170" s="252" t="s">
        <v>963</v>
      </c>
      <c r="E170" s="252" t="s">
        <v>964</v>
      </c>
    </row>
    <row r="171" spans="2:5">
      <c r="B171" s="292"/>
      <c r="C171" s="257"/>
      <c r="D171" s="252" t="s">
        <v>965</v>
      </c>
      <c r="E171" s="252" t="s">
        <v>966</v>
      </c>
    </row>
    <row r="172" spans="2:5">
      <c r="B172" s="291"/>
      <c r="C172" s="258"/>
      <c r="D172" s="252" t="s">
        <v>967</v>
      </c>
      <c r="E172" s="252" t="s">
        <v>968</v>
      </c>
    </row>
    <row r="173" spans="2:5">
      <c r="B173" s="290" t="s">
        <v>969</v>
      </c>
      <c r="C173" s="250" t="s">
        <v>899</v>
      </c>
      <c r="D173" s="250" t="s">
        <v>900</v>
      </c>
      <c r="E173" s="250"/>
    </row>
    <row r="174" spans="2:5">
      <c r="B174" s="292"/>
      <c r="C174" s="250"/>
      <c r="D174" s="250"/>
      <c r="E174" s="250"/>
    </row>
    <row r="175" spans="2:5">
      <c r="B175" s="292"/>
      <c r="C175" s="250"/>
      <c r="D175" s="250"/>
      <c r="E175" s="250"/>
    </row>
    <row r="176" spans="2:5">
      <c r="B176" s="292"/>
      <c r="C176" s="250"/>
      <c r="D176" s="250"/>
      <c r="E176" s="250"/>
    </row>
    <row r="177" spans="2:5">
      <c r="B177" s="292"/>
      <c r="C177" s="250" t="s">
        <v>936</v>
      </c>
      <c r="D177" s="250" t="s">
        <v>970</v>
      </c>
      <c r="E177" s="250"/>
    </row>
    <row r="178" spans="2:5">
      <c r="B178" s="292"/>
      <c r="C178" s="250"/>
      <c r="D178" s="250"/>
      <c r="E178" s="250"/>
    </row>
    <row r="179" spans="2:5">
      <c r="B179" s="292"/>
      <c r="C179" s="250"/>
      <c r="D179" s="250"/>
      <c r="E179" s="250"/>
    </row>
    <row r="180" spans="2:5">
      <c r="B180" s="292"/>
      <c r="C180" s="250"/>
      <c r="D180" s="250"/>
      <c r="E180" s="250"/>
    </row>
    <row r="181" spans="2:5">
      <c r="B181" s="292"/>
      <c r="C181" s="250" t="s">
        <v>971</v>
      </c>
      <c r="D181" s="250" t="s">
        <v>972</v>
      </c>
      <c r="E181" s="250"/>
    </row>
    <row r="182" spans="2:5">
      <c r="B182" s="292"/>
      <c r="C182" s="250"/>
      <c r="D182" s="250" t="s">
        <v>973</v>
      </c>
      <c r="E182" s="250" t="s">
        <v>974</v>
      </c>
    </row>
    <row r="183" spans="2:5">
      <c r="B183" s="292"/>
      <c r="C183" s="250"/>
      <c r="D183" s="250"/>
      <c r="E183" s="250"/>
    </row>
    <row r="184" spans="2:5">
      <c r="B184" s="292"/>
      <c r="C184" s="250" t="s">
        <v>975</v>
      </c>
      <c r="D184" s="250" t="s">
        <v>976</v>
      </c>
      <c r="E184" s="250"/>
    </row>
    <row r="185" spans="2:5">
      <c r="B185" s="291"/>
      <c r="C185" s="250"/>
      <c r="D185" s="250"/>
      <c r="E185" s="250"/>
    </row>
  </sheetData>
  <mergeCells count="27">
    <mergeCell ref="C127:C129"/>
    <mergeCell ref="D65:D66"/>
    <mergeCell ref="D71:D72"/>
    <mergeCell ref="C74:C77"/>
    <mergeCell ref="C78:C84"/>
    <mergeCell ref="C85:C90"/>
    <mergeCell ref="C91:C94"/>
    <mergeCell ref="C60:C73"/>
    <mergeCell ref="C95:C108"/>
    <mergeCell ref="C109:C111"/>
    <mergeCell ref="C112:C113"/>
    <mergeCell ref="C114:C117"/>
    <mergeCell ref="C118:C120"/>
    <mergeCell ref="C121:C124"/>
    <mergeCell ref="C125:C126"/>
    <mergeCell ref="C130:C131"/>
    <mergeCell ref="C132:C140"/>
    <mergeCell ref="C141:C144"/>
    <mergeCell ref="B145:B172"/>
    <mergeCell ref="B173:B185"/>
    <mergeCell ref="B7:B144"/>
    <mergeCell ref="C7:C8"/>
    <mergeCell ref="C9:C14"/>
    <mergeCell ref="C15:C31"/>
    <mergeCell ref="C32:C50"/>
    <mergeCell ref="C51:C54"/>
    <mergeCell ref="C55:C59"/>
  </mergeCells>
  <phoneticPr fontId="1"/>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T556"/>
  <sheetViews>
    <sheetView showGridLines="0" topLeftCell="B472" zoomScale="90" zoomScaleNormal="90" workbookViewId="0">
      <selection activeCell="U504" sqref="U504"/>
    </sheetView>
  </sheetViews>
  <sheetFormatPr defaultRowHeight="11.25" customHeight="1" outlineLevelCol="1"/>
  <cols>
    <col min="1" max="1" width="18.25" style="164" hidden="1" customWidth="1" outlineLevel="1"/>
    <col min="2" max="2" width="18.25" style="164" customWidth="1" collapsed="1"/>
    <col min="3" max="8" width="18.25" style="164" hidden="1" customWidth="1" outlineLevel="1"/>
    <col min="9" max="9" width="16.5" style="164" hidden="1" customWidth="1" outlineLevel="1"/>
    <col min="10" max="10" width="10.375" style="164" hidden="1" customWidth="1" outlineLevel="1"/>
    <col min="11" max="11" width="5.5" style="164" hidden="1" customWidth="1" outlineLevel="1"/>
    <col min="12" max="12" width="49.375" style="164" hidden="1" customWidth="1" outlineLevel="1"/>
    <col min="13" max="14" width="9" style="164" hidden="1" customWidth="1" outlineLevel="1"/>
    <col min="15" max="15" width="19" style="164" hidden="1" customWidth="1" outlineLevel="1"/>
    <col min="16" max="19" width="9" style="164" hidden="1" customWidth="1" outlineLevel="1"/>
    <col min="20" max="20" width="9" style="164" collapsed="1"/>
    <col min="21" max="16384" width="9" style="164"/>
  </cols>
  <sheetData>
    <row r="1" spans="1:17" s="158" customFormat="1" ht="11.25" customHeight="1">
      <c r="A1" s="223" t="s">
        <v>95</v>
      </c>
      <c r="B1" s="224" t="s">
        <v>571</v>
      </c>
      <c r="C1" s="225" t="s">
        <v>182</v>
      </c>
      <c r="D1" s="226" t="s">
        <v>183</v>
      </c>
      <c r="E1" s="227" t="s">
        <v>214</v>
      </c>
      <c r="F1" s="228" t="s">
        <v>184</v>
      </c>
      <c r="G1" s="228" t="s">
        <v>215</v>
      </c>
      <c r="H1" s="228" t="s">
        <v>185</v>
      </c>
      <c r="I1" s="229" t="s">
        <v>96</v>
      </c>
      <c r="J1" s="230" t="s">
        <v>97</v>
      </c>
      <c r="K1" s="231" t="s">
        <v>98</v>
      </c>
      <c r="L1" s="232" t="s">
        <v>99</v>
      </c>
      <c r="O1" s="220" t="s">
        <v>100</v>
      </c>
      <c r="P1" s="221" t="s">
        <v>47</v>
      </c>
      <c r="Q1" s="222" t="s">
        <v>101</v>
      </c>
    </row>
    <row r="2" spans="1:17" ht="11.25" customHeight="1">
      <c r="A2" s="191"/>
      <c r="B2" s="159"/>
      <c r="C2" s="190" t="s">
        <v>186</v>
      </c>
      <c r="D2" s="191" t="s">
        <v>187</v>
      </c>
      <c r="E2" s="197" t="s">
        <v>188</v>
      </c>
      <c r="F2" s="191" t="s">
        <v>189</v>
      </c>
      <c r="G2" s="190" t="s">
        <v>190</v>
      </c>
      <c r="H2" s="191" t="s">
        <v>191</v>
      </c>
      <c r="I2" s="160"/>
      <c r="J2" s="161" t="s">
        <v>102</v>
      </c>
      <c r="K2" s="162">
        <v>50000</v>
      </c>
      <c r="L2" s="163" t="s">
        <v>103</v>
      </c>
      <c r="M2" s="164" t="s">
        <v>104</v>
      </c>
      <c r="N2" s="164" t="s">
        <v>104</v>
      </c>
      <c r="O2" s="165" t="s">
        <v>105</v>
      </c>
      <c r="P2" s="166">
        <v>1</v>
      </c>
      <c r="Q2" s="167">
        <v>1</v>
      </c>
    </row>
    <row r="3" spans="1:17" ht="11.25" customHeight="1">
      <c r="A3" s="191" t="s">
        <v>712</v>
      </c>
      <c r="B3" s="246" t="s">
        <v>784</v>
      </c>
      <c r="C3" s="190" t="s">
        <v>192</v>
      </c>
      <c r="D3" s="191" t="s">
        <v>193</v>
      </c>
      <c r="E3" s="197" t="s">
        <v>194</v>
      </c>
      <c r="F3" s="191" t="s">
        <v>195</v>
      </c>
      <c r="G3" s="190" t="s">
        <v>196</v>
      </c>
      <c r="H3" s="191" t="s">
        <v>197</v>
      </c>
      <c r="I3" s="160" t="s">
        <v>106</v>
      </c>
      <c r="J3" s="168" t="s">
        <v>107</v>
      </c>
      <c r="K3" s="169">
        <v>100</v>
      </c>
      <c r="L3" s="170" t="s">
        <v>108</v>
      </c>
      <c r="M3" s="164" t="s">
        <v>109</v>
      </c>
      <c r="N3" s="164" t="s">
        <v>109</v>
      </c>
      <c r="O3" s="165">
        <v>0.41666666666666702</v>
      </c>
      <c r="P3" s="171">
        <v>0.875</v>
      </c>
      <c r="Q3" s="167">
        <v>0.875</v>
      </c>
    </row>
    <row r="4" spans="1:17" ht="11.25" customHeight="1">
      <c r="A4" s="191" t="s">
        <v>713</v>
      </c>
      <c r="B4" s="246" t="s">
        <v>572</v>
      </c>
      <c r="C4" s="190" t="s">
        <v>198</v>
      </c>
      <c r="D4" s="191" t="s">
        <v>199</v>
      </c>
      <c r="E4" s="191" t="s">
        <v>200</v>
      </c>
      <c r="F4" s="191" t="s">
        <v>201</v>
      </c>
      <c r="G4" s="192" t="s">
        <v>202</v>
      </c>
      <c r="H4" s="191" t="s">
        <v>203</v>
      </c>
      <c r="I4" s="160" t="s">
        <v>110</v>
      </c>
      <c r="J4" s="168" t="s">
        <v>111</v>
      </c>
      <c r="K4" s="169">
        <v>1000</v>
      </c>
      <c r="L4" s="170" t="s">
        <v>112</v>
      </c>
      <c r="O4" s="165">
        <v>0.45833333333333298</v>
      </c>
      <c r="P4" s="171">
        <v>0.75</v>
      </c>
      <c r="Q4" s="167">
        <v>0.75</v>
      </c>
    </row>
    <row r="5" spans="1:17" ht="11.25" customHeight="1">
      <c r="A5" s="191" t="s">
        <v>714</v>
      </c>
      <c r="B5" s="246" t="s">
        <v>573</v>
      </c>
      <c r="C5" s="191" t="s">
        <v>204</v>
      </c>
      <c r="D5" s="191" t="s">
        <v>205</v>
      </c>
      <c r="E5" s="198" t="s">
        <v>206</v>
      </c>
      <c r="F5" s="199" t="s">
        <v>79</v>
      </c>
      <c r="G5" s="200"/>
      <c r="H5" s="191" t="s">
        <v>207</v>
      </c>
      <c r="I5" s="172" t="s">
        <v>113</v>
      </c>
      <c r="J5" s="168" t="s">
        <v>114</v>
      </c>
      <c r="K5" s="169">
        <v>100</v>
      </c>
      <c r="L5" s="170" t="s">
        <v>115</v>
      </c>
      <c r="O5" s="165">
        <v>0.5</v>
      </c>
      <c r="P5" s="171">
        <v>0.625</v>
      </c>
      <c r="Q5" s="167">
        <v>0.625</v>
      </c>
    </row>
    <row r="6" spans="1:17" ht="11.25" customHeight="1">
      <c r="A6" s="191" t="s">
        <v>715</v>
      </c>
      <c r="B6" s="246" t="s">
        <v>227</v>
      </c>
      <c r="C6" s="191" t="s">
        <v>208</v>
      </c>
      <c r="D6" s="191" t="s">
        <v>209</v>
      </c>
      <c r="E6" s="201" t="s">
        <v>210</v>
      </c>
      <c r="F6" s="202"/>
      <c r="G6" s="200"/>
      <c r="H6" s="203" t="s">
        <v>211</v>
      </c>
      <c r="J6" s="168" t="s">
        <v>116</v>
      </c>
      <c r="K6" s="173">
        <v>1.7000000000000001E-2</v>
      </c>
      <c r="L6" s="170" t="s">
        <v>117</v>
      </c>
      <c r="O6" s="165">
        <v>0.54166666666666696</v>
      </c>
      <c r="P6" s="171">
        <v>0.625</v>
      </c>
      <c r="Q6" s="167">
        <v>0.625</v>
      </c>
    </row>
    <row r="7" spans="1:17" ht="11.25" customHeight="1">
      <c r="A7" s="191" t="s">
        <v>118</v>
      </c>
      <c r="B7" s="246" t="s">
        <v>574</v>
      </c>
      <c r="C7" s="204" t="s">
        <v>78</v>
      </c>
      <c r="D7" s="198" t="s">
        <v>212</v>
      </c>
      <c r="E7" s="200"/>
      <c r="F7" s="202"/>
      <c r="G7" s="200"/>
      <c r="H7" s="205"/>
      <c r="J7" s="168" t="s">
        <v>119</v>
      </c>
      <c r="K7" s="169">
        <v>0.02</v>
      </c>
      <c r="L7" s="170" t="s">
        <v>120</v>
      </c>
      <c r="O7" s="165">
        <v>0.58333333333333304</v>
      </c>
      <c r="P7" s="171">
        <v>0.5</v>
      </c>
      <c r="Q7" s="167">
        <v>0.5</v>
      </c>
    </row>
    <row r="8" spans="1:17" ht="11.25" customHeight="1">
      <c r="A8" s="191" t="s">
        <v>716</v>
      </c>
      <c r="B8" s="246" t="s">
        <v>575</v>
      </c>
      <c r="C8" s="206"/>
      <c r="D8" s="201" t="s">
        <v>213</v>
      </c>
      <c r="E8" s="200"/>
      <c r="F8" s="202"/>
      <c r="G8" s="200"/>
      <c r="H8" s="200"/>
      <c r="J8" s="168" t="s">
        <v>121</v>
      </c>
      <c r="K8" s="169">
        <v>0.1</v>
      </c>
      <c r="L8" s="170" t="s">
        <v>122</v>
      </c>
      <c r="O8" s="165">
        <v>0.625</v>
      </c>
      <c r="P8" s="171">
        <v>0.375</v>
      </c>
      <c r="Q8" s="167">
        <v>0.375</v>
      </c>
    </row>
    <row r="9" spans="1:17" ht="11.25" customHeight="1">
      <c r="A9" s="191" t="s">
        <v>717</v>
      </c>
      <c r="B9" s="246" t="s">
        <v>228</v>
      </c>
      <c r="J9" s="168" t="s">
        <v>123</v>
      </c>
      <c r="K9" s="169">
        <v>0.05</v>
      </c>
      <c r="L9" s="170" t="s">
        <v>124</v>
      </c>
      <c r="O9" s="165">
        <v>0.66666666666666696</v>
      </c>
      <c r="P9" s="171">
        <v>0.25</v>
      </c>
      <c r="Q9" s="167">
        <v>0.25</v>
      </c>
    </row>
    <row r="10" spans="1:17" ht="11.25" customHeight="1">
      <c r="A10" s="191" t="s">
        <v>718</v>
      </c>
      <c r="B10" s="246" t="s">
        <v>229</v>
      </c>
      <c r="E10" s="174"/>
      <c r="J10" s="168" t="s">
        <v>125</v>
      </c>
      <c r="K10" s="169">
        <v>0.1</v>
      </c>
      <c r="L10" s="170" t="s">
        <v>126</v>
      </c>
      <c r="O10" s="165">
        <v>0.70833333333333304</v>
      </c>
      <c r="P10" s="171">
        <v>0.125</v>
      </c>
      <c r="Q10" s="167">
        <v>0.125</v>
      </c>
    </row>
    <row r="11" spans="1:17" ht="11.25" customHeight="1">
      <c r="A11" s="191" t="s">
        <v>719</v>
      </c>
      <c r="B11" s="246" t="s">
        <v>230</v>
      </c>
      <c r="J11" s="168" t="s">
        <v>127</v>
      </c>
      <c r="K11" s="169">
        <v>1</v>
      </c>
      <c r="L11" s="170" t="s">
        <v>128</v>
      </c>
      <c r="O11" s="165" t="s">
        <v>129</v>
      </c>
      <c r="P11" s="171">
        <v>0.1111111111111111</v>
      </c>
      <c r="Q11" s="167">
        <v>0.1111111111111111</v>
      </c>
    </row>
    <row r="12" spans="1:17" ht="11.25" customHeight="1">
      <c r="A12" s="191" t="s">
        <v>130</v>
      </c>
      <c r="B12" s="246" t="s">
        <v>576</v>
      </c>
      <c r="J12" s="168" t="s">
        <v>131</v>
      </c>
      <c r="K12" s="169">
        <v>2</v>
      </c>
      <c r="L12" s="170" t="s">
        <v>132</v>
      </c>
      <c r="O12" s="175"/>
      <c r="P12" s="176"/>
    </row>
    <row r="13" spans="1:17" ht="11.25" customHeight="1">
      <c r="A13" s="191" t="s">
        <v>720</v>
      </c>
      <c r="B13" s="246" t="s">
        <v>231</v>
      </c>
      <c r="J13" s="168" t="s">
        <v>133</v>
      </c>
      <c r="K13" s="169">
        <v>0.1</v>
      </c>
      <c r="L13" s="170" t="s">
        <v>134</v>
      </c>
      <c r="O13" s="175"/>
      <c r="P13" s="176"/>
    </row>
    <row r="14" spans="1:17" ht="11.25" customHeight="1">
      <c r="A14" s="191" t="s">
        <v>135</v>
      </c>
      <c r="B14" s="246" t="s">
        <v>232</v>
      </c>
      <c r="J14" s="168" t="s">
        <v>136</v>
      </c>
      <c r="K14" s="169">
        <v>400</v>
      </c>
      <c r="L14" s="170" t="s">
        <v>137</v>
      </c>
      <c r="O14" s="175"/>
      <c r="P14" s="176"/>
    </row>
    <row r="15" spans="1:17" ht="11.25" customHeight="1">
      <c r="A15" s="191" t="s">
        <v>721</v>
      </c>
      <c r="B15" s="246" t="s">
        <v>233</v>
      </c>
      <c r="J15" s="168" t="s">
        <v>138</v>
      </c>
      <c r="K15" s="169">
        <v>600</v>
      </c>
      <c r="L15" s="170" t="s">
        <v>139</v>
      </c>
      <c r="O15" s="175"/>
      <c r="P15" s="176"/>
    </row>
    <row r="16" spans="1:17" ht="11.25" customHeight="1">
      <c r="A16" s="191" t="s">
        <v>722</v>
      </c>
      <c r="B16" s="246" t="s">
        <v>577</v>
      </c>
      <c r="J16" s="177" t="s">
        <v>140</v>
      </c>
      <c r="K16" s="178">
        <v>10</v>
      </c>
      <c r="L16" s="179" t="s">
        <v>141</v>
      </c>
      <c r="O16" s="175"/>
      <c r="P16" s="176"/>
    </row>
    <row r="17" spans="1:16" ht="11.25" customHeight="1">
      <c r="A17" s="191" t="s">
        <v>142</v>
      </c>
      <c r="B17" s="246" t="s">
        <v>234</v>
      </c>
      <c r="O17" s="175"/>
      <c r="P17" s="176"/>
    </row>
    <row r="18" spans="1:16" ht="11.25" customHeight="1">
      <c r="A18" s="191" t="s">
        <v>723</v>
      </c>
      <c r="B18" s="246" t="s">
        <v>235</v>
      </c>
      <c r="O18" s="175"/>
      <c r="P18" s="176"/>
    </row>
    <row r="19" spans="1:16" ht="11.25" customHeight="1">
      <c r="A19" s="191" t="s">
        <v>724</v>
      </c>
      <c r="B19" s="246" t="s">
        <v>236</v>
      </c>
    </row>
    <row r="20" spans="1:16" ht="11.25" customHeight="1">
      <c r="A20" s="191" t="s">
        <v>725</v>
      </c>
      <c r="B20" s="246" t="s">
        <v>237</v>
      </c>
    </row>
    <row r="21" spans="1:16" ht="11.25" customHeight="1">
      <c r="A21" s="191" t="s">
        <v>726</v>
      </c>
      <c r="B21" s="246" t="s">
        <v>785</v>
      </c>
    </row>
    <row r="22" spans="1:16" ht="11.25" customHeight="1">
      <c r="A22" s="191" t="s">
        <v>727</v>
      </c>
      <c r="B22" s="246" t="s">
        <v>238</v>
      </c>
    </row>
    <row r="23" spans="1:16" ht="11.25" customHeight="1">
      <c r="A23" s="191" t="s">
        <v>728</v>
      </c>
      <c r="B23" s="246" t="s">
        <v>578</v>
      </c>
    </row>
    <row r="24" spans="1:16" ht="11.25" customHeight="1">
      <c r="A24" s="191" t="s">
        <v>729</v>
      </c>
      <c r="B24" s="246" t="s">
        <v>579</v>
      </c>
    </row>
    <row r="25" spans="1:16" ht="11.25" customHeight="1">
      <c r="A25" s="191" t="s">
        <v>730</v>
      </c>
      <c r="B25" s="246" t="s">
        <v>104</v>
      </c>
    </row>
    <row r="26" spans="1:16" ht="11.25" customHeight="1">
      <c r="A26" s="191" t="s">
        <v>731</v>
      </c>
      <c r="B26" s="246" t="s">
        <v>580</v>
      </c>
    </row>
    <row r="27" spans="1:16" ht="11.25" customHeight="1">
      <c r="A27" s="191" t="s">
        <v>732</v>
      </c>
      <c r="B27" s="246" t="s">
        <v>581</v>
      </c>
    </row>
    <row r="28" spans="1:16" ht="11.25" customHeight="1">
      <c r="A28" s="191" t="s">
        <v>143</v>
      </c>
      <c r="B28" s="246" t="s">
        <v>239</v>
      </c>
    </row>
    <row r="29" spans="1:16" ht="11.25" customHeight="1">
      <c r="A29" s="191" t="s">
        <v>144</v>
      </c>
      <c r="B29" s="246" t="s">
        <v>240</v>
      </c>
    </row>
    <row r="30" spans="1:16" ht="11.25" customHeight="1">
      <c r="A30" s="191" t="s">
        <v>733</v>
      </c>
      <c r="B30" s="246" t="s">
        <v>241</v>
      </c>
    </row>
    <row r="31" spans="1:16" ht="11.25" customHeight="1">
      <c r="A31" s="191"/>
      <c r="B31" s="246" t="s">
        <v>582</v>
      </c>
    </row>
    <row r="32" spans="1:16" ht="11.25" customHeight="1">
      <c r="A32" s="191" t="s">
        <v>734</v>
      </c>
      <c r="B32" s="246" t="s">
        <v>242</v>
      </c>
    </row>
    <row r="33" spans="1:2" ht="11.25" customHeight="1">
      <c r="A33" s="191" t="s">
        <v>735</v>
      </c>
      <c r="B33" s="246" t="s">
        <v>583</v>
      </c>
    </row>
    <row r="34" spans="1:2" ht="11.25" customHeight="1">
      <c r="A34" s="193" t="s">
        <v>145</v>
      </c>
      <c r="B34" s="246" t="s">
        <v>243</v>
      </c>
    </row>
    <row r="35" spans="1:2" ht="11.25" customHeight="1">
      <c r="A35" s="191" t="s">
        <v>736</v>
      </c>
      <c r="B35" s="246" t="s">
        <v>584</v>
      </c>
    </row>
    <row r="36" spans="1:2" ht="11.25" customHeight="1">
      <c r="A36" s="191" t="s">
        <v>737</v>
      </c>
      <c r="B36" s="246" t="s">
        <v>585</v>
      </c>
    </row>
    <row r="37" spans="1:2" ht="11.25" customHeight="1">
      <c r="A37" s="191" t="s">
        <v>738</v>
      </c>
      <c r="B37" s="246" t="s">
        <v>244</v>
      </c>
    </row>
    <row r="38" spans="1:2" ht="11.25" customHeight="1">
      <c r="A38" s="191" t="s">
        <v>146</v>
      </c>
      <c r="B38" s="246" t="s">
        <v>109</v>
      </c>
    </row>
    <row r="39" spans="1:2" ht="11.25" customHeight="1">
      <c r="A39" s="191" t="s">
        <v>739</v>
      </c>
      <c r="B39" s="246" t="s">
        <v>586</v>
      </c>
    </row>
    <row r="40" spans="1:2" ht="11.25" customHeight="1">
      <c r="A40" s="191" t="s">
        <v>740</v>
      </c>
      <c r="B40" s="246" t="s">
        <v>245</v>
      </c>
    </row>
    <row r="41" spans="1:2" ht="11.25" customHeight="1">
      <c r="A41" s="191" t="s">
        <v>147</v>
      </c>
      <c r="B41" s="246" t="s">
        <v>587</v>
      </c>
    </row>
    <row r="42" spans="1:2" ht="11.25" customHeight="1">
      <c r="A42" s="191" t="s">
        <v>741</v>
      </c>
      <c r="B42" s="246" t="s">
        <v>246</v>
      </c>
    </row>
    <row r="43" spans="1:2" ht="11.25" customHeight="1">
      <c r="A43" s="191" t="s">
        <v>742</v>
      </c>
      <c r="B43" s="246" t="s">
        <v>588</v>
      </c>
    </row>
    <row r="44" spans="1:2" ht="11.25" customHeight="1">
      <c r="A44" s="191" t="s">
        <v>148</v>
      </c>
      <c r="B44" s="246" t="s">
        <v>547</v>
      </c>
    </row>
    <row r="45" spans="1:2" ht="11.25" customHeight="1">
      <c r="A45" s="191" t="s">
        <v>149</v>
      </c>
      <c r="B45" s="246" t="s">
        <v>247</v>
      </c>
    </row>
    <row r="46" spans="1:2" ht="11.25" customHeight="1">
      <c r="A46" s="191" t="s">
        <v>743</v>
      </c>
      <c r="B46" s="246" t="s">
        <v>248</v>
      </c>
    </row>
    <row r="47" spans="1:2" ht="11.25" customHeight="1">
      <c r="A47" s="191" t="s">
        <v>744</v>
      </c>
      <c r="B47" s="246" t="s">
        <v>786</v>
      </c>
    </row>
    <row r="48" spans="1:2" ht="11.25" customHeight="1">
      <c r="A48" s="191"/>
      <c r="B48" s="246" t="s">
        <v>249</v>
      </c>
    </row>
    <row r="49" spans="1:9" ht="11.25" customHeight="1">
      <c r="A49" s="191" t="s">
        <v>745</v>
      </c>
      <c r="B49" s="246" t="s">
        <v>250</v>
      </c>
    </row>
    <row r="50" spans="1:9" ht="11.25" customHeight="1">
      <c r="A50" s="191" t="s">
        <v>746</v>
      </c>
      <c r="B50" s="246" t="s">
        <v>589</v>
      </c>
    </row>
    <row r="51" spans="1:9" ht="11.25" customHeight="1">
      <c r="A51" s="191" t="s">
        <v>747</v>
      </c>
      <c r="B51" s="246" t="s">
        <v>251</v>
      </c>
    </row>
    <row r="52" spans="1:9" ht="11.25" customHeight="1">
      <c r="A52" s="191" t="s">
        <v>748</v>
      </c>
      <c r="B52" s="246" t="s">
        <v>590</v>
      </c>
    </row>
    <row r="53" spans="1:9" ht="11.25" customHeight="1">
      <c r="A53" s="191" t="s">
        <v>749</v>
      </c>
      <c r="B53" s="246" t="s">
        <v>252</v>
      </c>
    </row>
    <row r="54" spans="1:9" ht="11.25" customHeight="1">
      <c r="A54" s="191" t="s">
        <v>150</v>
      </c>
      <c r="B54" s="246" t="s">
        <v>253</v>
      </c>
    </row>
    <row r="55" spans="1:9" ht="11.25" customHeight="1">
      <c r="A55" s="191"/>
      <c r="B55" s="246" t="s">
        <v>254</v>
      </c>
    </row>
    <row r="56" spans="1:9" ht="11.25" customHeight="1">
      <c r="A56" s="191" t="s">
        <v>151</v>
      </c>
      <c r="B56" s="246" t="s">
        <v>591</v>
      </c>
      <c r="I56" s="180"/>
    </row>
    <row r="57" spans="1:9" ht="11.25" customHeight="1">
      <c r="A57" s="191" t="s">
        <v>152</v>
      </c>
      <c r="B57" s="246" t="s">
        <v>255</v>
      </c>
      <c r="I57" s="180"/>
    </row>
    <row r="58" spans="1:9" ht="11.25" customHeight="1">
      <c r="A58" s="191" t="s">
        <v>153</v>
      </c>
      <c r="B58" s="246" t="s">
        <v>256</v>
      </c>
    </row>
    <row r="59" spans="1:9" ht="11.25" customHeight="1">
      <c r="A59" s="191" t="s">
        <v>154</v>
      </c>
      <c r="B59" s="191" t="s">
        <v>592</v>
      </c>
    </row>
    <row r="60" spans="1:9" ht="11.25" customHeight="1">
      <c r="A60" s="191" t="s">
        <v>155</v>
      </c>
      <c r="B60" s="246" t="s">
        <v>257</v>
      </c>
    </row>
    <row r="61" spans="1:9" ht="11.25" customHeight="1">
      <c r="A61" s="191" t="s">
        <v>156</v>
      </c>
      <c r="B61" s="246" t="s">
        <v>258</v>
      </c>
    </row>
    <row r="62" spans="1:9" ht="11.25" customHeight="1">
      <c r="A62" s="191" t="s">
        <v>157</v>
      </c>
      <c r="B62" s="246" t="s">
        <v>593</v>
      </c>
    </row>
    <row r="63" spans="1:9" ht="11.25" customHeight="1">
      <c r="A63" s="191" t="s">
        <v>158</v>
      </c>
      <c r="B63" s="246" t="s">
        <v>259</v>
      </c>
    </row>
    <row r="64" spans="1:9" ht="11.25" customHeight="1">
      <c r="A64" s="191" t="s">
        <v>159</v>
      </c>
      <c r="B64" s="246" t="s">
        <v>260</v>
      </c>
    </row>
    <row r="65" spans="1:2" ht="11.25" customHeight="1">
      <c r="A65" s="191" t="s">
        <v>750</v>
      </c>
      <c r="B65" s="246" t="s">
        <v>594</v>
      </c>
    </row>
    <row r="66" spans="1:2" ht="11.25" customHeight="1">
      <c r="A66" s="191" t="s">
        <v>563</v>
      </c>
      <c r="B66" s="246" t="s">
        <v>595</v>
      </c>
    </row>
    <row r="67" spans="1:2" ht="11.25" customHeight="1">
      <c r="A67" s="191" t="s">
        <v>751</v>
      </c>
      <c r="B67" s="246" t="s">
        <v>261</v>
      </c>
    </row>
    <row r="68" spans="1:2" ht="11.25" customHeight="1">
      <c r="A68" s="191" t="s">
        <v>752</v>
      </c>
      <c r="B68" s="246" t="s">
        <v>262</v>
      </c>
    </row>
    <row r="69" spans="1:2" ht="11.25" customHeight="1">
      <c r="A69" s="191" t="s">
        <v>753</v>
      </c>
      <c r="B69" s="246" t="s">
        <v>263</v>
      </c>
    </row>
    <row r="70" spans="1:2" ht="11.25" customHeight="1">
      <c r="A70" s="191" t="s">
        <v>754</v>
      </c>
      <c r="B70" s="246" t="s">
        <v>264</v>
      </c>
    </row>
    <row r="71" spans="1:2" ht="11.25" customHeight="1">
      <c r="A71" s="191" t="s">
        <v>755</v>
      </c>
      <c r="B71" s="246" t="s">
        <v>265</v>
      </c>
    </row>
    <row r="72" spans="1:2" ht="11.25" customHeight="1">
      <c r="A72" s="191" t="s">
        <v>756</v>
      </c>
      <c r="B72" s="246" t="s">
        <v>596</v>
      </c>
    </row>
    <row r="73" spans="1:2" ht="11.25" customHeight="1">
      <c r="A73" s="191" t="s">
        <v>757</v>
      </c>
      <c r="B73" s="246" t="s">
        <v>266</v>
      </c>
    </row>
    <row r="74" spans="1:2" ht="11.25" customHeight="1">
      <c r="A74" s="191" t="s">
        <v>758</v>
      </c>
      <c r="B74" s="246" t="s">
        <v>267</v>
      </c>
    </row>
    <row r="75" spans="1:2" ht="11.25" customHeight="1">
      <c r="A75" s="191" t="s">
        <v>759</v>
      </c>
      <c r="B75" s="246" t="s">
        <v>597</v>
      </c>
    </row>
    <row r="76" spans="1:2" ht="11.25" customHeight="1">
      <c r="A76" s="191" t="s">
        <v>760</v>
      </c>
      <c r="B76" s="246" t="s">
        <v>268</v>
      </c>
    </row>
    <row r="77" spans="1:2" ht="11.25" customHeight="1">
      <c r="A77" s="191" t="s">
        <v>761</v>
      </c>
      <c r="B77" s="246" t="s">
        <v>598</v>
      </c>
    </row>
    <row r="78" spans="1:2" ht="11.25" customHeight="1">
      <c r="A78" s="191" t="s">
        <v>762</v>
      </c>
      <c r="B78" s="246" t="s">
        <v>269</v>
      </c>
    </row>
    <row r="79" spans="1:2" ht="11.25" customHeight="1">
      <c r="A79" s="191" t="s">
        <v>564</v>
      </c>
      <c r="B79" s="246" t="s">
        <v>599</v>
      </c>
    </row>
    <row r="80" spans="1:2" ht="11.25" customHeight="1">
      <c r="A80" s="191" t="s">
        <v>565</v>
      </c>
      <c r="B80" s="246" t="s">
        <v>270</v>
      </c>
    </row>
    <row r="81" spans="1:2" ht="11.25" customHeight="1">
      <c r="A81" s="191"/>
      <c r="B81" s="246" t="s">
        <v>271</v>
      </c>
    </row>
    <row r="82" spans="1:2" ht="11.25" customHeight="1">
      <c r="A82" s="191" t="s">
        <v>160</v>
      </c>
      <c r="B82" s="246" t="s">
        <v>272</v>
      </c>
    </row>
    <row r="83" spans="1:2" ht="11.25" customHeight="1">
      <c r="A83" s="191"/>
      <c r="B83" s="246" t="s">
        <v>600</v>
      </c>
    </row>
    <row r="84" spans="1:2" ht="11.25" customHeight="1">
      <c r="A84" s="191" t="s">
        <v>161</v>
      </c>
      <c r="B84" s="246" t="s">
        <v>273</v>
      </c>
    </row>
    <row r="85" spans="1:2" ht="11.25" customHeight="1">
      <c r="A85" s="191" t="s">
        <v>162</v>
      </c>
      <c r="B85" s="246" t="s">
        <v>274</v>
      </c>
    </row>
    <row r="86" spans="1:2" ht="11.25" customHeight="1">
      <c r="A86" s="191" t="s">
        <v>763</v>
      </c>
      <c r="B86" s="246" t="s">
        <v>275</v>
      </c>
    </row>
    <row r="87" spans="1:2" ht="11.25" customHeight="1">
      <c r="A87" s="191" t="s">
        <v>163</v>
      </c>
      <c r="B87" s="246" t="s">
        <v>601</v>
      </c>
    </row>
    <row r="88" spans="1:2" ht="11.25" customHeight="1">
      <c r="A88" s="191" t="s">
        <v>164</v>
      </c>
      <c r="B88" s="246" t="s">
        <v>276</v>
      </c>
    </row>
    <row r="89" spans="1:2" ht="11.25" customHeight="1">
      <c r="A89" s="191" t="s">
        <v>165</v>
      </c>
      <c r="B89" s="246" t="s">
        <v>277</v>
      </c>
    </row>
    <row r="90" spans="1:2" ht="11.25" customHeight="1">
      <c r="A90" s="191"/>
      <c r="B90" s="246" t="s">
        <v>278</v>
      </c>
    </row>
    <row r="91" spans="1:2" ht="11.25" customHeight="1">
      <c r="A91" s="191" t="s">
        <v>764</v>
      </c>
      <c r="B91" s="246" t="s">
        <v>602</v>
      </c>
    </row>
    <row r="92" spans="1:2" ht="11.25" customHeight="1">
      <c r="A92" s="191" t="s">
        <v>765</v>
      </c>
      <c r="B92" s="246" t="s">
        <v>603</v>
      </c>
    </row>
    <row r="93" spans="1:2" ht="11.25" customHeight="1">
      <c r="A93" s="194" t="s">
        <v>766</v>
      </c>
      <c r="B93" s="246" t="s">
        <v>279</v>
      </c>
    </row>
    <row r="94" spans="1:2" ht="11.25" customHeight="1">
      <c r="A94" s="191" t="s">
        <v>767</v>
      </c>
      <c r="B94" s="246" t="s">
        <v>280</v>
      </c>
    </row>
    <row r="95" spans="1:2" ht="11.25" customHeight="1">
      <c r="A95" s="191" t="s">
        <v>768</v>
      </c>
      <c r="B95" s="246" t="s">
        <v>281</v>
      </c>
    </row>
    <row r="96" spans="1:2" ht="11.25" customHeight="1">
      <c r="A96" s="191" t="s">
        <v>769</v>
      </c>
      <c r="B96" s="246" t="s">
        <v>284</v>
      </c>
    </row>
    <row r="97" spans="1:2" ht="11.25" customHeight="1">
      <c r="A97" s="191" t="s">
        <v>562</v>
      </c>
      <c r="B97" s="246" t="s">
        <v>285</v>
      </c>
    </row>
    <row r="98" spans="1:2" ht="11.25" customHeight="1">
      <c r="A98" s="191" t="s">
        <v>166</v>
      </c>
      <c r="B98" s="246" t="s">
        <v>282</v>
      </c>
    </row>
    <row r="99" spans="1:2" ht="11.25" customHeight="1">
      <c r="A99" s="191" t="s">
        <v>770</v>
      </c>
      <c r="B99" s="246" t="s">
        <v>283</v>
      </c>
    </row>
    <row r="100" spans="1:2" ht="11.25" customHeight="1">
      <c r="A100" s="191" t="s">
        <v>771</v>
      </c>
      <c r="B100" s="246" t="s">
        <v>286</v>
      </c>
    </row>
    <row r="101" spans="1:2" ht="11.25" customHeight="1">
      <c r="A101" s="191" t="s">
        <v>167</v>
      </c>
      <c r="B101" s="246" t="s">
        <v>604</v>
      </c>
    </row>
    <row r="102" spans="1:2" ht="11.25" customHeight="1">
      <c r="A102" s="191" t="s">
        <v>566</v>
      </c>
      <c r="B102" s="246" t="s">
        <v>605</v>
      </c>
    </row>
    <row r="103" spans="1:2" ht="11.25" customHeight="1">
      <c r="A103" s="191" t="s">
        <v>168</v>
      </c>
      <c r="B103" s="246" t="s">
        <v>287</v>
      </c>
    </row>
    <row r="104" spans="1:2" ht="11.25" customHeight="1">
      <c r="A104" s="191" t="s">
        <v>169</v>
      </c>
      <c r="B104" s="246" t="s">
        <v>288</v>
      </c>
    </row>
    <row r="105" spans="1:2" ht="11.25" customHeight="1">
      <c r="A105" s="191" t="s">
        <v>170</v>
      </c>
      <c r="B105" s="246" t="s">
        <v>606</v>
      </c>
    </row>
    <row r="106" spans="1:2" ht="11.25" customHeight="1">
      <c r="A106" s="191" t="s">
        <v>171</v>
      </c>
      <c r="B106" s="246" t="s">
        <v>379</v>
      </c>
    </row>
    <row r="107" spans="1:2" ht="11.25" customHeight="1">
      <c r="A107" s="191" t="s">
        <v>172</v>
      </c>
      <c r="B107" s="246" t="s">
        <v>289</v>
      </c>
    </row>
    <row r="108" spans="1:2" ht="11.25" customHeight="1">
      <c r="A108" s="191" t="s">
        <v>772</v>
      </c>
      <c r="B108" s="246" t="s">
        <v>344</v>
      </c>
    </row>
    <row r="109" spans="1:2" ht="11.25" customHeight="1">
      <c r="A109" s="191" t="s">
        <v>173</v>
      </c>
      <c r="B109" s="246" t="s">
        <v>343</v>
      </c>
    </row>
    <row r="110" spans="1:2" ht="11.25" customHeight="1">
      <c r="A110" s="191" t="s">
        <v>226</v>
      </c>
      <c r="B110" s="246" t="s">
        <v>290</v>
      </c>
    </row>
    <row r="111" spans="1:2" ht="11.25" customHeight="1">
      <c r="A111" s="191"/>
      <c r="B111" s="246" t="s">
        <v>291</v>
      </c>
    </row>
    <row r="112" spans="1:2" ht="11.25" customHeight="1">
      <c r="A112" s="191" t="s">
        <v>773</v>
      </c>
      <c r="B112" s="246" t="s">
        <v>292</v>
      </c>
    </row>
    <row r="113" spans="1:2" ht="11.25" customHeight="1">
      <c r="A113" s="191" t="s">
        <v>174</v>
      </c>
      <c r="B113" s="246" t="s">
        <v>607</v>
      </c>
    </row>
    <row r="114" spans="1:2" ht="11.25" customHeight="1">
      <c r="A114" s="191" t="s">
        <v>774</v>
      </c>
      <c r="B114" s="246" t="s">
        <v>608</v>
      </c>
    </row>
    <row r="115" spans="1:2" ht="11.25" customHeight="1">
      <c r="A115" s="191" t="s">
        <v>175</v>
      </c>
      <c r="B115" s="246" t="s">
        <v>609</v>
      </c>
    </row>
    <row r="116" spans="1:2" ht="11.25" customHeight="1">
      <c r="A116" s="191" t="s">
        <v>775</v>
      </c>
      <c r="B116" s="246" t="s">
        <v>294</v>
      </c>
    </row>
    <row r="117" spans="1:2" ht="11.25" customHeight="1">
      <c r="A117" s="191" t="s">
        <v>776</v>
      </c>
      <c r="B117" s="246" t="s">
        <v>295</v>
      </c>
    </row>
    <row r="118" spans="1:2" ht="11.25" customHeight="1">
      <c r="A118" s="191" t="s">
        <v>777</v>
      </c>
      <c r="B118" s="246" t="s">
        <v>610</v>
      </c>
    </row>
    <row r="119" spans="1:2" ht="11.25" customHeight="1">
      <c r="A119" s="191"/>
      <c r="B119" s="246" t="s">
        <v>293</v>
      </c>
    </row>
    <row r="120" spans="1:2" ht="11.25" customHeight="1">
      <c r="A120" s="191" t="s">
        <v>176</v>
      </c>
      <c r="B120" s="246" t="s">
        <v>296</v>
      </c>
    </row>
    <row r="121" spans="1:2" ht="11.25" customHeight="1">
      <c r="A121" s="191" t="s">
        <v>778</v>
      </c>
      <c r="B121" s="246" t="s">
        <v>297</v>
      </c>
    </row>
    <row r="122" spans="1:2" ht="11.25" customHeight="1">
      <c r="A122" s="191" t="s">
        <v>779</v>
      </c>
      <c r="B122" s="246" t="s">
        <v>299</v>
      </c>
    </row>
    <row r="123" spans="1:2" ht="11.25" customHeight="1">
      <c r="A123" s="191" t="s">
        <v>177</v>
      </c>
      <c r="B123" s="246" t="s">
        <v>548</v>
      </c>
    </row>
    <row r="124" spans="1:2" ht="11.25" customHeight="1">
      <c r="A124" s="191"/>
      <c r="B124" s="246" t="s">
        <v>298</v>
      </c>
    </row>
    <row r="125" spans="1:2" ht="11.25" customHeight="1">
      <c r="A125" s="191" t="s">
        <v>178</v>
      </c>
      <c r="B125" s="246" t="s">
        <v>300</v>
      </c>
    </row>
    <row r="126" spans="1:2" ht="11.25" customHeight="1">
      <c r="A126" s="191" t="s">
        <v>780</v>
      </c>
      <c r="B126" s="246" t="s">
        <v>301</v>
      </c>
    </row>
    <row r="127" spans="1:2" ht="11.25" customHeight="1">
      <c r="A127" s="191" t="s">
        <v>179</v>
      </c>
      <c r="B127" s="246" t="s">
        <v>302</v>
      </c>
    </row>
    <row r="128" spans="1:2" ht="11.25" customHeight="1">
      <c r="A128" s="191" t="s">
        <v>781</v>
      </c>
      <c r="B128" s="246" t="s">
        <v>303</v>
      </c>
    </row>
    <row r="129" spans="1:2" ht="11.25" customHeight="1">
      <c r="A129" s="191" t="s">
        <v>782</v>
      </c>
      <c r="B129" s="246" t="s">
        <v>304</v>
      </c>
    </row>
    <row r="130" spans="1:2" ht="11.25" customHeight="1">
      <c r="A130" s="191" t="s">
        <v>783</v>
      </c>
      <c r="B130" s="246" t="s">
        <v>305</v>
      </c>
    </row>
    <row r="131" spans="1:2" ht="11.25" customHeight="1">
      <c r="A131" s="191"/>
      <c r="B131" s="246" t="s">
        <v>549</v>
      </c>
    </row>
    <row r="132" spans="1:2" ht="11.25" customHeight="1">
      <c r="A132" s="191"/>
      <c r="B132" s="246" t="s">
        <v>306</v>
      </c>
    </row>
    <row r="133" spans="1:2" ht="11.25" customHeight="1">
      <c r="A133" s="191"/>
      <c r="B133" s="246" t="s">
        <v>307</v>
      </c>
    </row>
    <row r="134" spans="1:2" ht="11.25" customHeight="1">
      <c r="A134" s="191"/>
      <c r="B134" s="246" t="s">
        <v>611</v>
      </c>
    </row>
    <row r="135" spans="1:2" ht="11.25" customHeight="1">
      <c r="A135" s="191"/>
      <c r="B135" s="246" t="s">
        <v>612</v>
      </c>
    </row>
    <row r="136" spans="1:2" ht="11.25" customHeight="1">
      <c r="A136" s="191"/>
      <c r="B136" s="246" t="s">
        <v>308</v>
      </c>
    </row>
    <row r="137" spans="1:2" ht="11.25" customHeight="1">
      <c r="A137" s="191"/>
      <c r="B137" s="246" t="s">
        <v>309</v>
      </c>
    </row>
    <row r="138" spans="1:2" ht="11.25" customHeight="1">
      <c r="A138" s="191"/>
      <c r="B138" s="246" t="s">
        <v>550</v>
      </c>
    </row>
    <row r="139" spans="1:2" ht="11.25" customHeight="1">
      <c r="A139" s="191"/>
      <c r="B139" s="246" t="s">
        <v>310</v>
      </c>
    </row>
    <row r="140" spans="1:2" ht="11.25" customHeight="1">
      <c r="A140" s="191"/>
      <c r="B140" s="246" t="s">
        <v>311</v>
      </c>
    </row>
    <row r="141" spans="1:2" ht="11.25" customHeight="1">
      <c r="A141" s="191"/>
      <c r="B141" s="246" t="s">
        <v>312</v>
      </c>
    </row>
    <row r="142" spans="1:2" ht="11.25" customHeight="1">
      <c r="A142" s="191"/>
      <c r="B142" s="246" t="s">
        <v>313</v>
      </c>
    </row>
    <row r="143" spans="1:2" ht="11.25" customHeight="1">
      <c r="A143" s="191"/>
      <c r="B143" s="246" t="s">
        <v>314</v>
      </c>
    </row>
    <row r="144" spans="1:2" ht="11.25" customHeight="1">
      <c r="A144" s="191"/>
      <c r="B144" s="246" t="s">
        <v>315</v>
      </c>
    </row>
    <row r="145" spans="1:2" ht="11.25" customHeight="1">
      <c r="A145" s="191"/>
      <c r="B145" s="246" t="s">
        <v>316</v>
      </c>
    </row>
    <row r="146" spans="1:2" ht="11.25" customHeight="1">
      <c r="A146" s="191"/>
      <c r="B146" s="246" t="s">
        <v>317</v>
      </c>
    </row>
    <row r="147" spans="1:2" ht="11.25" customHeight="1">
      <c r="A147" s="191"/>
      <c r="B147" s="246" t="s">
        <v>318</v>
      </c>
    </row>
    <row r="148" spans="1:2" ht="11.25" customHeight="1">
      <c r="A148" s="191"/>
      <c r="B148" s="246" t="s">
        <v>613</v>
      </c>
    </row>
    <row r="149" spans="1:2" ht="11.25" customHeight="1">
      <c r="A149" s="191"/>
      <c r="B149" s="246" t="s">
        <v>319</v>
      </c>
    </row>
    <row r="150" spans="1:2" ht="11.25" customHeight="1">
      <c r="A150" s="191"/>
      <c r="B150" s="246" t="s">
        <v>320</v>
      </c>
    </row>
    <row r="151" spans="1:2" ht="11.25" customHeight="1">
      <c r="A151" s="191"/>
      <c r="B151" s="246" t="s">
        <v>321</v>
      </c>
    </row>
    <row r="152" spans="1:2" ht="11.25" customHeight="1">
      <c r="A152" s="191"/>
      <c r="B152" s="246" t="s">
        <v>614</v>
      </c>
    </row>
    <row r="153" spans="1:2" ht="11.25" customHeight="1">
      <c r="A153" s="191"/>
      <c r="B153" s="246" t="s">
        <v>551</v>
      </c>
    </row>
    <row r="154" spans="1:2" ht="11.25" customHeight="1">
      <c r="A154" s="191"/>
      <c r="B154" s="246" t="s">
        <v>322</v>
      </c>
    </row>
    <row r="155" spans="1:2" ht="11.25" customHeight="1">
      <c r="A155" s="191"/>
      <c r="B155" s="246" t="s">
        <v>323</v>
      </c>
    </row>
    <row r="156" spans="1:2" ht="11.25" customHeight="1">
      <c r="A156" s="191"/>
      <c r="B156" s="246" t="s">
        <v>552</v>
      </c>
    </row>
    <row r="157" spans="1:2" ht="11.25" customHeight="1">
      <c r="A157" s="191"/>
      <c r="B157" s="246" t="s">
        <v>553</v>
      </c>
    </row>
    <row r="158" spans="1:2" ht="11.25" customHeight="1">
      <c r="A158" s="191"/>
      <c r="B158" s="246" t="s">
        <v>324</v>
      </c>
    </row>
    <row r="159" spans="1:2" ht="11.25" customHeight="1">
      <c r="A159" s="191"/>
      <c r="B159" s="246" t="s">
        <v>325</v>
      </c>
    </row>
    <row r="160" spans="1:2" ht="11.25" customHeight="1">
      <c r="A160" s="191"/>
      <c r="B160" s="246" t="s">
        <v>554</v>
      </c>
    </row>
    <row r="161" spans="1:2" ht="11.25" customHeight="1">
      <c r="A161" s="191"/>
      <c r="B161" s="246" t="s">
        <v>326</v>
      </c>
    </row>
    <row r="162" spans="1:2" ht="11.25" customHeight="1">
      <c r="A162" s="191"/>
      <c r="B162" s="246" t="s">
        <v>327</v>
      </c>
    </row>
    <row r="163" spans="1:2" ht="11.25" customHeight="1">
      <c r="A163" s="191"/>
      <c r="B163" s="246" t="s">
        <v>615</v>
      </c>
    </row>
    <row r="164" spans="1:2" ht="11.25" customHeight="1">
      <c r="A164" s="191"/>
      <c r="B164" s="246" t="s">
        <v>328</v>
      </c>
    </row>
    <row r="165" spans="1:2" ht="11.25" customHeight="1">
      <c r="A165" s="191"/>
      <c r="B165" s="246" t="s">
        <v>329</v>
      </c>
    </row>
    <row r="166" spans="1:2" ht="11.25" customHeight="1">
      <c r="A166" s="195"/>
      <c r="B166" s="246" t="s">
        <v>330</v>
      </c>
    </row>
    <row r="167" spans="1:2" ht="11.25" customHeight="1">
      <c r="A167" s="196"/>
      <c r="B167" s="246" t="s">
        <v>331</v>
      </c>
    </row>
    <row r="168" spans="1:2" ht="11.25" customHeight="1">
      <c r="A168" s="196"/>
      <c r="B168" s="246" t="s">
        <v>332</v>
      </c>
    </row>
    <row r="169" spans="1:2" ht="11.25" customHeight="1">
      <c r="A169" s="196"/>
      <c r="B169" s="246" t="s">
        <v>333</v>
      </c>
    </row>
    <row r="170" spans="1:2" ht="11.25" customHeight="1">
      <c r="A170" s="196"/>
      <c r="B170" s="246" t="s">
        <v>340</v>
      </c>
    </row>
    <row r="171" spans="1:2" ht="11.25" customHeight="1">
      <c r="A171" s="196"/>
      <c r="B171" s="246" t="s">
        <v>341</v>
      </c>
    </row>
    <row r="172" spans="1:2" ht="11.25" customHeight="1">
      <c r="A172" s="196"/>
      <c r="B172" s="246" t="s">
        <v>342</v>
      </c>
    </row>
    <row r="173" spans="1:2" ht="11.25" customHeight="1">
      <c r="A173" s="196"/>
      <c r="B173" s="246" t="s">
        <v>616</v>
      </c>
    </row>
    <row r="174" spans="1:2" ht="11.25" customHeight="1">
      <c r="A174" s="196"/>
      <c r="B174" s="246" t="s">
        <v>617</v>
      </c>
    </row>
    <row r="175" spans="1:2" ht="11.25" customHeight="1">
      <c r="A175" s="196"/>
      <c r="B175" s="246" t="s">
        <v>618</v>
      </c>
    </row>
    <row r="176" spans="1:2" ht="11.25" customHeight="1">
      <c r="A176" s="196"/>
      <c r="B176" s="246" t="s">
        <v>345</v>
      </c>
    </row>
    <row r="177" spans="1:2" ht="11.25" customHeight="1">
      <c r="A177" s="196"/>
      <c r="B177" s="246" t="s">
        <v>619</v>
      </c>
    </row>
    <row r="178" spans="1:2" ht="11.25" customHeight="1">
      <c r="A178" s="196"/>
      <c r="B178" s="246" t="s">
        <v>620</v>
      </c>
    </row>
    <row r="179" spans="1:2" ht="11.25" customHeight="1">
      <c r="A179" s="196"/>
      <c r="B179" s="246" t="s">
        <v>346</v>
      </c>
    </row>
    <row r="180" spans="1:2" ht="11.25" customHeight="1">
      <c r="A180" s="196"/>
      <c r="B180" s="246" t="s">
        <v>787</v>
      </c>
    </row>
    <row r="181" spans="1:2" ht="11.25" customHeight="1">
      <c r="A181" s="196"/>
      <c r="B181" s="246" t="s">
        <v>334</v>
      </c>
    </row>
    <row r="182" spans="1:2" ht="11.25" customHeight="1">
      <c r="A182" s="196"/>
      <c r="B182" s="246" t="s">
        <v>339</v>
      </c>
    </row>
    <row r="183" spans="1:2" ht="11.25" customHeight="1">
      <c r="A183" s="196"/>
      <c r="B183" s="246" t="s">
        <v>335</v>
      </c>
    </row>
    <row r="184" spans="1:2" ht="11.25" customHeight="1">
      <c r="A184" s="196"/>
      <c r="B184" s="246" t="s">
        <v>336</v>
      </c>
    </row>
    <row r="185" spans="1:2" ht="11.25" customHeight="1">
      <c r="A185" s="196"/>
      <c r="B185" s="246" t="s">
        <v>337</v>
      </c>
    </row>
    <row r="186" spans="1:2" ht="11.25" customHeight="1">
      <c r="A186" s="196"/>
      <c r="B186" s="246" t="s">
        <v>338</v>
      </c>
    </row>
    <row r="187" spans="1:2" ht="11.25" customHeight="1">
      <c r="A187" s="196"/>
      <c r="B187" s="246" t="s">
        <v>621</v>
      </c>
    </row>
    <row r="188" spans="1:2" ht="11.25" customHeight="1">
      <c r="A188" s="196"/>
      <c r="B188" s="246" t="s">
        <v>347</v>
      </c>
    </row>
    <row r="189" spans="1:2" ht="11.25" customHeight="1">
      <c r="A189" s="196"/>
      <c r="B189" s="246" t="s">
        <v>349</v>
      </c>
    </row>
    <row r="190" spans="1:2" ht="11.25" customHeight="1">
      <c r="A190" s="196"/>
      <c r="B190" s="246" t="s">
        <v>622</v>
      </c>
    </row>
    <row r="191" spans="1:2" ht="11.25" customHeight="1">
      <c r="A191" s="196"/>
      <c r="B191" s="246" t="s">
        <v>350</v>
      </c>
    </row>
    <row r="192" spans="1:2" ht="11.25" customHeight="1">
      <c r="A192" s="196"/>
      <c r="B192" s="246" t="s">
        <v>351</v>
      </c>
    </row>
    <row r="193" spans="2:2" ht="11.25" customHeight="1">
      <c r="B193" s="246" t="s">
        <v>352</v>
      </c>
    </row>
    <row r="194" spans="2:2" ht="11.25" customHeight="1">
      <c r="B194" s="246" t="s">
        <v>353</v>
      </c>
    </row>
    <row r="195" spans="2:2" ht="11.25" customHeight="1">
      <c r="B195" s="246" t="s">
        <v>354</v>
      </c>
    </row>
    <row r="196" spans="2:2" ht="11.25" customHeight="1">
      <c r="B196" s="246" t="s">
        <v>355</v>
      </c>
    </row>
    <row r="197" spans="2:2" ht="11.25" customHeight="1">
      <c r="B197" s="246" t="s">
        <v>356</v>
      </c>
    </row>
    <row r="198" spans="2:2" ht="11.25" customHeight="1">
      <c r="B198" s="246" t="s">
        <v>555</v>
      </c>
    </row>
    <row r="199" spans="2:2" ht="11.25" customHeight="1">
      <c r="B199" s="246" t="s">
        <v>348</v>
      </c>
    </row>
    <row r="200" spans="2:2" ht="11.25" customHeight="1">
      <c r="B200" s="246" t="s">
        <v>357</v>
      </c>
    </row>
    <row r="201" spans="2:2" ht="11.25" customHeight="1">
      <c r="B201" s="246" t="s">
        <v>358</v>
      </c>
    </row>
    <row r="202" spans="2:2" ht="11.25" customHeight="1">
      <c r="B202" s="246" t="s">
        <v>359</v>
      </c>
    </row>
    <row r="203" spans="2:2" ht="11.25" customHeight="1">
      <c r="B203" s="246" t="s">
        <v>623</v>
      </c>
    </row>
    <row r="204" spans="2:2" ht="11.25" customHeight="1">
      <c r="B204" s="246" t="s">
        <v>624</v>
      </c>
    </row>
    <row r="205" spans="2:2" ht="11.25" customHeight="1">
      <c r="B205" s="246" t="s">
        <v>625</v>
      </c>
    </row>
    <row r="206" spans="2:2" ht="11.25" customHeight="1">
      <c r="B206" s="246" t="s">
        <v>360</v>
      </c>
    </row>
    <row r="207" spans="2:2" ht="11.25" customHeight="1">
      <c r="B207" s="246" t="s">
        <v>626</v>
      </c>
    </row>
    <row r="208" spans="2:2" ht="11.25" customHeight="1">
      <c r="B208" s="246" t="s">
        <v>627</v>
      </c>
    </row>
    <row r="209" spans="2:2" ht="11.25" customHeight="1">
      <c r="B209" s="246" t="s">
        <v>527</v>
      </c>
    </row>
    <row r="210" spans="2:2" ht="11.25" customHeight="1">
      <c r="B210" s="246" t="s">
        <v>362</v>
      </c>
    </row>
    <row r="211" spans="2:2" ht="11.25" customHeight="1">
      <c r="B211" s="246" t="s">
        <v>628</v>
      </c>
    </row>
    <row r="212" spans="2:2" ht="11.25" customHeight="1">
      <c r="B212" s="246" t="s">
        <v>364</v>
      </c>
    </row>
    <row r="213" spans="2:2" ht="11.25" customHeight="1">
      <c r="B213" s="246" t="s">
        <v>366</v>
      </c>
    </row>
    <row r="214" spans="2:2" ht="11.25" customHeight="1">
      <c r="B214" s="246" t="s">
        <v>363</v>
      </c>
    </row>
    <row r="215" spans="2:2" ht="11.25" customHeight="1">
      <c r="B215" s="246" t="s">
        <v>365</v>
      </c>
    </row>
    <row r="216" spans="2:2" ht="11.25" customHeight="1">
      <c r="B216" s="246" t="s">
        <v>367</v>
      </c>
    </row>
    <row r="217" spans="2:2" ht="11.25" customHeight="1">
      <c r="B217" s="246" t="s">
        <v>369</v>
      </c>
    </row>
    <row r="218" spans="2:2" ht="11.25" customHeight="1">
      <c r="B218" s="246" t="s">
        <v>370</v>
      </c>
    </row>
    <row r="219" spans="2:2" ht="11.25" customHeight="1">
      <c r="B219" s="246" t="s">
        <v>629</v>
      </c>
    </row>
    <row r="220" spans="2:2" ht="11.25" customHeight="1">
      <c r="B220" s="246" t="s">
        <v>630</v>
      </c>
    </row>
    <row r="221" spans="2:2" ht="11.25" customHeight="1">
      <c r="B221" s="246" t="s">
        <v>631</v>
      </c>
    </row>
    <row r="222" spans="2:2" ht="11.25" customHeight="1">
      <c r="B222" s="246" t="s">
        <v>371</v>
      </c>
    </row>
    <row r="223" spans="2:2" ht="11.25" customHeight="1">
      <c r="B223" s="246" t="s">
        <v>372</v>
      </c>
    </row>
    <row r="224" spans="2:2" ht="11.25" customHeight="1">
      <c r="B224" s="246" t="s">
        <v>632</v>
      </c>
    </row>
    <row r="225" spans="2:2" ht="11.25" customHeight="1">
      <c r="B225" s="246" t="s">
        <v>373</v>
      </c>
    </row>
    <row r="226" spans="2:2" ht="11.25" customHeight="1">
      <c r="B226" s="246" t="s">
        <v>368</v>
      </c>
    </row>
    <row r="227" spans="2:2" ht="11.25" customHeight="1">
      <c r="B227" s="246" t="s">
        <v>633</v>
      </c>
    </row>
    <row r="228" spans="2:2" ht="11.25" customHeight="1">
      <c r="B228" s="246" t="s">
        <v>374</v>
      </c>
    </row>
    <row r="229" spans="2:2" ht="11.25" customHeight="1">
      <c r="B229" s="246" t="s">
        <v>375</v>
      </c>
    </row>
    <row r="230" spans="2:2" ht="11.25" customHeight="1">
      <c r="B230" s="246" t="s">
        <v>361</v>
      </c>
    </row>
    <row r="231" spans="2:2" ht="11.25" customHeight="1">
      <c r="B231" s="246" t="s">
        <v>376</v>
      </c>
    </row>
    <row r="232" spans="2:2" ht="11.25" customHeight="1">
      <c r="B232" s="246" t="s">
        <v>634</v>
      </c>
    </row>
    <row r="233" spans="2:2" ht="11.25" customHeight="1">
      <c r="B233" s="246" t="s">
        <v>635</v>
      </c>
    </row>
    <row r="234" spans="2:2" ht="11.25" customHeight="1">
      <c r="B234" s="246" t="s">
        <v>377</v>
      </c>
    </row>
    <row r="235" spans="2:2" ht="11.25" customHeight="1">
      <c r="B235" s="246" t="s">
        <v>636</v>
      </c>
    </row>
    <row r="236" spans="2:2" ht="11.25" customHeight="1">
      <c r="B236" s="246" t="s">
        <v>378</v>
      </c>
    </row>
    <row r="237" spans="2:2" ht="11.25" customHeight="1">
      <c r="B237" s="246" t="s">
        <v>556</v>
      </c>
    </row>
    <row r="238" spans="2:2" ht="11.25" customHeight="1">
      <c r="B238" s="246" t="s">
        <v>403</v>
      </c>
    </row>
    <row r="239" spans="2:2" ht="11.25" customHeight="1">
      <c r="B239" s="246" t="s">
        <v>637</v>
      </c>
    </row>
    <row r="240" spans="2:2" ht="11.25" customHeight="1">
      <c r="B240" s="246" t="s">
        <v>638</v>
      </c>
    </row>
    <row r="241" spans="2:2" ht="11.25" customHeight="1">
      <c r="B241" s="246" t="s">
        <v>381</v>
      </c>
    </row>
    <row r="242" spans="2:2" ht="11.25" customHeight="1">
      <c r="B242" s="246" t="s">
        <v>385</v>
      </c>
    </row>
    <row r="243" spans="2:2" ht="11.25" customHeight="1">
      <c r="B243" s="246" t="s">
        <v>639</v>
      </c>
    </row>
    <row r="244" spans="2:2" ht="11.25" customHeight="1">
      <c r="B244" s="246" t="s">
        <v>557</v>
      </c>
    </row>
    <row r="245" spans="2:2" ht="11.25" customHeight="1">
      <c r="B245" s="246" t="s">
        <v>382</v>
      </c>
    </row>
    <row r="246" spans="2:2" ht="11.25" customHeight="1">
      <c r="B246" s="246" t="s">
        <v>640</v>
      </c>
    </row>
    <row r="247" spans="2:2" ht="11.25" customHeight="1">
      <c r="B247" s="246" t="s">
        <v>384</v>
      </c>
    </row>
    <row r="248" spans="2:2" ht="11.25" customHeight="1">
      <c r="B248" s="246" t="s">
        <v>383</v>
      </c>
    </row>
    <row r="249" spans="2:2" ht="11.25" customHeight="1">
      <c r="B249" s="246" t="s">
        <v>386</v>
      </c>
    </row>
    <row r="250" spans="2:2" ht="11.25" customHeight="1">
      <c r="B250" s="246" t="s">
        <v>387</v>
      </c>
    </row>
    <row r="251" spans="2:2" ht="11.25" customHeight="1">
      <c r="B251" s="246" t="s">
        <v>788</v>
      </c>
    </row>
    <row r="252" spans="2:2" ht="11.25" customHeight="1">
      <c r="B252" s="246" t="s">
        <v>388</v>
      </c>
    </row>
    <row r="253" spans="2:2" ht="11.25" customHeight="1">
      <c r="B253" s="246" t="s">
        <v>389</v>
      </c>
    </row>
    <row r="254" spans="2:2" ht="11.25" customHeight="1">
      <c r="B254" s="246" t="s">
        <v>398</v>
      </c>
    </row>
    <row r="255" spans="2:2" ht="11.25" customHeight="1">
      <c r="B255" s="246" t="s">
        <v>390</v>
      </c>
    </row>
    <row r="256" spans="2:2" ht="11.25" customHeight="1">
      <c r="B256" s="246" t="s">
        <v>641</v>
      </c>
    </row>
    <row r="257" spans="2:2" ht="11.25" customHeight="1">
      <c r="B257" s="246" t="s">
        <v>391</v>
      </c>
    </row>
    <row r="258" spans="2:2" ht="11.25" customHeight="1">
      <c r="B258" s="246" t="s">
        <v>392</v>
      </c>
    </row>
    <row r="259" spans="2:2" ht="11.25" customHeight="1">
      <c r="B259" s="246" t="s">
        <v>393</v>
      </c>
    </row>
    <row r="260" spans="2:2" ht="11.25" customHeight="1">
      <c r="B260" s="246" t="s">
        <v>642</v>
      </c>
    </row>
    <row r="261" spans="2:2" ht="11.25" customHeight="1">
      <c r="B261" s="246" t="s">
        <v>394</v>
      </c>
    </row>
    <row r="262" spans="2:2" ht="11.25" customHeight="1">
      <c r="B262" s="246" t="s">
        <v>643</v>
      </c>
    </row>
    <row r="263" spans="2:2" ht="11.25" customHeight="1">
      <c r="B263" s="246" t="s">
        <v>644</v>
      </c>
    </row>
    <row r="264" spans="2:2" ht="11.25" customHeight="1">
      <c r="B264" s="246" t="s">
        <v>645</v>
      </c>
    </row>
    <row r="265" spans="2:2" ht="11.25" customHeight="1">
      <c r="B265" s="246" t="s">
        <v>395</v>
      </c>
    </row>
    <row r="266" spans="2:2" ht="11.25" customHeight="1">
      <c r="B266" s="246" t="s">
        <v>397</v>
      </c>
    </row>
    <row r="267" spans="2:2" ht="11.25" customHeight="1">
      <c r="B267" s="246" t="s">
        <v>396</v>
      </c>
    </row>
    <row r="268" spans="2:2" ht="11.25" customHeight="1">
      <c r="B268" s="246" t="s">
        <v>399</v>
      </c>
    </row>
    <row r="269" spans="2:2" ht="11.25" customHeight="1">
      <c r="B269" s="246" t="s">
        <v>401</v>
      </c>
    </row>
    <row r="270" spans="2:2" ht="11.25" customHeight="1">
      <c r="B270" s="246" t="s">
        <v>402</v>
      </c>
    </row>
    <row r="271" spans="2:2" ht="11.25" customHeight="1">
      <c r="B271" s="246" t="s">
        <v>400</v>
      </c>
    </row>
    <row r="272" spans="2:2" ht="11.25" customHeight="1">
      <c r="B272" s="246" t="s">
        <v>646</v>
      </c>
    </row>
    <row r="273" spans="2:2" ht="11.25" customHeight="1">
      <c r="B273" s="246" t="s">
        <v>647</v>
      </c>
    </row>
    <row r="274" spans="2:2" ht="11.25" customHeight="1">
      <c r="B274" s="246" t="s">
        <v>648</v>
      </c>
    </row>
    <row r="275" spans="2:2" ht="11.25" customHeight="1">
      <c r="B275" s="246" t="s">
        <v>649</v>
      </c>
    </row>
    <row r="276" spans="2:2" ht="11.25" customHeight="1">
      <c r="B276" s="246" t="s">
        <v>650</v>
      </c>
    </row>
    <row r="277" spans="2:2" ht="11.25" customHeight="1">
      <c r="B277" s="246" t="s">
        <v>651</v>
      </c>
    </row>
    <row r="278" spans="2:2" ht="11.25" customHeight="1">
      <c r="B278" s="246" t="s">
        <v>405</v>
      </c>
    </row>
    <row r="279" spans="2:2" ht="11.25" customHeight="1">
      <c r="B279" s="246" t="s">
        <v>652</v>
      </c>
    </row>
    <row r="280" spans="2:2" ht="11.25" customHeight="1">
      <c r="B280" s="246" t="s">
        <v>404</v>
      </c>
    </row>
    <row r="281" spans="2:2" ht="11.25" customHeight="1">
      <c r="B281" s="246" t="s">
        <v>421</v>
      </c>
    </row>
    <row r="282" spans="2:2" ht="11.25" customHeight="1">
      <c r="B282" s="246" t="s">
        <v>653</v>
      </c>
    </row>
    <row r="283" spans="2:2" ht="11.25" customHeight="1">
      <c r="B283" s="246" t="s">
        <v>406</v>
      </c>
    </row>
    <row r="284" spans="2:2" ht="11.25" customHeight="1">
      <c r="B284" s="246" t="s">
        <v>654</v>
      </c>
    </row>
    <row r="285" spans="2:2" ht="11.25" customHeight="1">
      <c r="B285" s="246" t="s">
        <v>407</v>
      </c>
    </row>
    <row r="286" spans="2:2" ht="11.25" customHeight="1">
      <c r="B286" s="246" t="s">
        <v>408</v>
      </c>
    </row>
    <row r="287" spans="2:2" ht="11.25" customHeight="1">
      <c r="B287" s="246" t="s">
        <v>409</v>
      </c>
    </row>
    <row r="288" spans="2:2" ht="11.25" customHeight="1">
      <c r="B288" s="246" t="s">
        <v>655</v>
      </c>
    </row>
    <row r="289" spans="2:2" ht="11.25" customHeight="1">
      <c r="B289" s="246" t="s">
        <v>411</v>
      </c>
    </row>
    <row r="290" spans="2:2" ht="11.25" customHeight="1">
      <c r="B290" s="246" t="s">
        <v>412</v>
      </c>
    </row>
    <row r="291" spans="2:2" ht="11.25" customHeight="1">
      <c r="B291" s="246" t="s">
        <v>656</v>
      </c>
    </row>
    <row r="292" spans="2:2" ht="11.25" customHeight="1">
      <c r="B292" s="246" t="s">
        <v>413</v>
      </c>
    </row>
    <row r="293" spans="2:2" ht="11.25" customHeight="1">
      <c r="B293" s="246" t="s">
        <v>414</v>
      </c>
    </row>
    <row r="294" spans="2:2" ht="11.25" customHeight="1">
      <c r="B294" s="246" t="s">
        <v>657</v>
      </c>
    </row>
    <row r="295" spans="2:2" ht="11.25" customHeight="1">
      <c r="B295" s="246" t="s">
        <v>658</v>
      </c>
    </row>
    <row r="296" spans="2:2" ht="11.25" customHeight="1">
      <c r="B296" s="246" t="s">
        <v>415</v>
      </c>
    </row>
    <row r="297" spans="2:2" ht="11.25" customHeight="1">
      <c r="B297" s="246" t="s">
        <v>659</v>
      </c>
    </row>
    <row r="298" spans="2:2" ht="11.25" customHeight="1">
      <c r="B298" s="246" t="s">
        <v>416</v>
      </c>
    </row>
    <row r="299" spans="2:2" ht="11.25" customHeight="1">
      <c r="B299" s="246" t="s">
        <v>660</v>
      </c>
    </row>
    <row r="300" spans="2:2" ht="11.25" customHeight="1">
      <c r="B300" s="246" t="s">
        <v>417</v>
      </c>
    </row>
    <row r="301" spans="2:2" ht="11.25" customHeight="1">
      <c r="B301" s="246" t="s">
        <v>661</v>
      </c>
    </row>
    <row r="302" spans="2:2" ht="11.25" customHeight="1">
      <c r="B302" s="246" t="s">
        <v>662</v>
      </c>
    </row>
    <row r="303" spans="2:2" ht="11.25" customHeight="1">
      <c r="B303" s="246" t="s">
        <v>418</v>
      </c>
    </row>
    <row r="304" spans="2:2" ht="11.25" customHeight="1">
      <c r="B304" s="246" t="s">
        <v>410</v>
      </c>
    </row>
    <row r="305" spans="2:2" ht="11.25" customHeight="1">
      <c r="B305" s="246" t="s">
        <v>789</v>
      </c>
    </row>
    <row r="306" spans="2:2" ht="11.25" customHeight="1">
      <c r="B306" s="246" t="s">
        <v>419</v>
      </c>
    </row>
    <row r="307" spans="2:2" ht="11.25" customHeight="1">
      <c r="B307" s="246" t="s">
        <v>420</v>
      </c>
    </row>
    <row r="308" spans="2:2" ht="11.25" customHeight="1">
      <c r="B308" s="246" t="s">
        <v>423</v>
      </c>
    </row>
    <row r="309" spans="2:2" ht="11.25" customHeight="1">
      <c r="B309" s="246" t="s">
        <v>663</v>
      </c>
    </row>
    <row r="310" spans="2:2" ht="11.25" customHeight="1">
      <c r="B310" s="246" t="s">
        <v>422</v>
      </c>
    </row>
    <row r="311" spans="2:2" ht="11.25" customHeight="1">
      <c r="B311" s="246" t="s">
        <v>424</v>
      </c>
    </row>
    <row r="312" spans="2:2" ht="11.25" customHeight="1">
      <c r="B312" s="246" t="s">
        <v>425</v>
      </c>
    </row>
    <row r="313" spans="2:2" ht="11.25" customHeight="1">
      <c r="B313" s="246" t="s">
        <v>664</v>
      </c>
    </row>
    <row r="314" spans="2:2" ht="11.25" customHeight="1">
      <c r="B314" s="246" t="s">
        <v>426</v>
      </c>
    </row>
    <row r="315" spans="2:2" ht="11.25" customHeight="1">
      <c r="B315" s="191" t="s">
        <v>440</v>
      </c>
    </row>
    <row r="316" spans="2:2" ht="11.25" customHeight="1">
      <c r="B316" s="191" t="s">
        <v>665</v>
      </c>
    </row>
    <row r="317" spans="2:2" ht="11.25" customHeight="1">
      <c r="B317" s="191" t="s">
        <v>427</v>
      </c>
    </row>
    <row r="318" spans="2:2" ht="11.25" customHeight="1">
      <c r="B318" s="191" t="s">
        <v>666</v>
      </c>
    </row>
    <row r="319" spans="2:2" ht="11.25" customHeight="1">
      <c r="B319" s="191" t="s">
        <v>428</v>
      </c>
    </row>
    <row r="320" spans="2:2" ht="11.25" customHeight="1">
      <c r="B320" s="191" t="s">
        <v>667</v>
      </c>
    </row>
    <row r="321" spans="2:2" ht="11.25" customHeight="1">
      <c r="B321" s="191" t="s">
        <v>429</v>
      </c>
    </row>
    <row r="322" spans="2:2" ht="11.25" customHeight="1">
      <c r="B322" s="191" t="s">
        <v>558</v>
      </c>
    </row>
    <row r="323" spans="2:2" ht="11.25" customHeight="1">
      <c r="B323" s="191" t="s">
        <v>430</v>
      </c>
    </row>
    <row r="324" spans="2:2" ht="11.25" customHeight="1">
      <c r="B324" s="191" t="s">
        <v>431</v>
      </c>
    </row>
    <row r="325" spans="2:2" ht="11.25" customHeight="1">
      <c r="B325" s="191" t="s">
        <v>433</v>
      </c>
    </row>
    <row r="326" spans="2:2" ht="11.25" customHeight="1">
      <c r="B326" s="191" t="s">
        <v>432</v>
      </c>
    </row>
    <row r="327" spans="2:2" ht="11.25" customHeight="1">
      <c r="B327" s="191" t="s">
        <v>668</v>
      </c>
    </row>
    <row r="328" spans="2:2" ht="11.25" customHeight="1">
      <c r="B328" s="191" t="s">
        <v>434</v>
      </c>
    </row>
    <row r="329" spans="2:2" ht="11.25" customHeight="1">
      <c r="B329" s="191" t="s">
        <v>669</v>
      </c>
    </row>
    <row r="330" spans="2:2" ht="11.25" customHeight="1">
      <c r="B330" s="191" t="s">
        <v>435</v>
      </c>
    </row>
    <row r="331" spans="2:2" ht="11.25" customHeight="1">
      <c r="B331" s="191" t="s">
        <v>436</v>
      </c>
    </row>
    <row r="332" spans="2:2" ht="11.25" customHeight="1">
      <c r="B332" s="191" t="s">
        <v>437</v>
      </c>
    </row>
    <row r="333" spans="2:2" ht="11.25" customHeight="1">
      <c r="B333" s="191" t="s">
        <v>438</v>
      </c>
    </row>
    <row r="334" spans="2:2" ht="11.25" customHeight="1">
      <c r="B334" s="191" t="s">
        <v>439</v>
      </c>
    </row>
    <row r="335" spans="2:2" ht="11.25" customHeight="1">
      <c r="B335" s="191" t="s">
        <v>670</v>
      </c>
    </row>
    <row r="336" spans="2:2" ht="11.25" customHeight="1">
      <c r="B336" s="191" t="s">
        <v>671</v>
      </c>
    </row>
    <row r="337" spans="2:2" ht="11.25" customHeight="1">
      <c r="B337" s="191" t="s">
        <v>672</v>
      </c>
    </row>
    <row r="338" spans="2:2" ht="11.25" customHeight="1">
      <c r="B338" s="246" t="s">
        <v>673</v>
      </c>
    </row>
    <row r="339" spans="2:2" ht="11.25" customHeight="1">
      <c r="B339" s="191" t="s">
        <v>790</v>
      </c>
    </row>
    <row r="340" spans="2:2" ht="11.25" customHeight="1">
      <c r="B340" s="191" t="s">
        <v>674</v>
      </c>
    </row>
    <row r="341" spans="2:2" ht="11.25" customHeight="1">
      <c r="B341" s="191" t="s">
        <v>442</v>
      </c>
    </row>
    <row r="342" spans="2:2" ht="11.25" customHeight="1">
      <c r="B342" s="191" t="s">
        <v>443</v>
      </c>
    </row>
    <row r="343" spans="2:2" ht="11.25" customHeight="1">
      <c r="B343" s="191" t="s">
        <v>791</v>
      </c>
    </row>
    <row r="344" spans="2:2" ht="11.25" customHeight="1">
      <c r="B344" s="191" t="s">
        <v>444</v>
      </c>
    </row>
    <row r="345" spans="2:2" ht="11.25" customHeight="1">
      <c r="B345" s="191" t="s">
        <v>445</v>
      </c>
    </row>
    <row r="346" spans="2:2" ht="11.25" customHeight="1">
      <c r="B346" s="191" t="s">
        <v>446</v>
      </c>
    </row>
    <row r="347" spans="2:2" ht="11.25" customHeight="1">
      <c r="B347" s="191" t="s">
        <v>675</v>
      </c>
    </row>
    <row r="348" spans="2:2" ht="11.25" customHeight="1">
      <c r="B348" s="191" t="s">
        <v>447</v>
      </c>
    </row>
    <row r="349" spans="2:2" ht="11.25" customHeight="1">
      <c r="B349" s="191" t="s">
        <v>441</v>
      </c>
    </row>
    <row r="350" spans="2:2" ht="11.25" customHeight="1">
      <c r="B350" s="191" t="s">
        <v>676</v>
      </c>
    </row>
    <row r="351" spans="2:2" ht="11.25" customHeight="1">
      <c r="B351" s="191" t="s">
        <v>559</v>
      </c>
    </row>
    <row r="352" spans="2:2" ht="11.25" customHeight="1">
      <c r="B352" s="191" t="s">
        <v>450</v>
      </c>
    </row>
    <row r="353" spans="2:2" ht="11.25" customHeight="1">
      <c r="B353" s="191" t="s">
        <v>677</v>
      </c>
    </row>
    <row r="354" spans="2:2" ht="11.25" customHeight="1">
      <c r="B354" s="191" t="s">
        <v>451</v>
      </c>
    </row>
    <row r="355" spans="2:2" ht="11.25" customHeight="1">
      <c r="B355" s="191" t="s">
        <v>678</v>
      </c>
    </row>
    <row r="356" spans="2:2" ht="11.25" customHeight="1">
      <c r="B356" s="191" t="s">
        <v>452</v>
      </c>
    </row>
    <row r="357" spans="2:2" ht="11.25" customHeight="1">
      <c r="B357" s="191" t="s">
        <v>454</v>
      </c>
    </row>
    <row r="358" spans="2:2" ht="11.25" customHeight="1">
      <c r="B358" s="191" t="s">
        <v>679</v>
      </c>
    </row>
    <row r="359" spans="2:2" ht="11.25" customHeight="1">
      <c r="B359" s="191" t="s">
        <v>680</v>
      </c>
    </row>
    <row r="360" spans="2:2" ht="11.25" customHeight="1">
      <c r="B360" s="191" t="s">
        <v>448</v>
      </c>
    </row>
    <row r="361" spans="2:2" ht="11.25" customHeight="1">
      <c r="B361" s="191" t="s">
        <v>449</v>
      </c>
    </row>
    <row r="362" spans="2:2" ht="11.25" customHeight="1">
      <c r="B362" s="191" t="s">
        <v>453</v>
      </c>
    </row>
    <row r="363" spans="2:2" ht="11.25" customHeight="1">
      <c r="B363" s="191" t="s">
        <v>455</v>
      </c>
    </row>
    <row r="364" spans="2:2" ht="11.25" customHeight="1">
      <c r="B364" s="191" t="s">
        <v>681</v>
      </c>
    </row>
    <row r="365" spans="2:2" ht="11.25" customHeight="1">
      <c r="B365" s="191" t="s">
        <v>682</v>
      </c>
    </row>
    <row r="366" spans="2:2" ht="11.25" customHeight="1">
      <c r="B366" s="191" t="s">
        <v>456</v>
      </c>
    </row>
    <row r="367" spans="2:2" ht="11.25" customHeight="1">
      <c r="B367" s="191" t="s">
        <v>457</v>
      </c>
    </row>
    <row r="368" spans="2:2" ht="11.25" customHeight="1">
      <c r="B368" s="191" t="s">
        <v>683</v>
      </c>
    </row>
    <row r="369" spans="2:2" ht="11.25" customHeight="1">
      <c r="B369" s="191" t="s">
        <v>458</v>
      </c>
    </row>
    <row r="370" spans="2:2" ht="11.25" customHeight="1">
      <c r="B370" s="191" t="s">
        <v>459</v>
      </c>
    </row>
    <row r="371" spans="2:2" ht="11.25" customHeight="1">
      <c r="B371" s="191" t="s">
        <v>460</v>
      </c>
    </row>
    <row r="372" spans="2:2" ht="11.25" customHeight="1">
      <c r="B372" s="191" t="s">
        <v>380</v>
      </c>
    </row>
    <row r="373" spans="2:2" ht="11.25" customHeight="1">
      <c r="B373" s="191" t="s">
        <v>684</v>
      </c>
    </row>
    <row r="374" spans="2:2" ht="11.25" customHeight="1">
      <c r="B374" s="191" t="s">
        <v>461</v>
      </c>
    </row>
    <row r="375" spans="2:2" ht="11.25" customHeight="1">
      <c r="B375" s="191" t="s">
        <v>462</v>
      </c>
    </row>
    <row r="376" spans="2:2" ht="11.25" customHeight="1">
      <c r="B376" s="191" t="s">
        <v>463</v>
      </c>
    </row>
    <row r="377" spans="2:2" ht="11.25" customHeight="1">
      <c r="B377" s="191" t="s">
        <v>464</v>
      </c>
    </row>
    <row r="378" spans="2:2" ht="11.25" customHeight="1">
      <c r="B378" s="191" t="s">
        <v>465</v>
      </c>
    </row>
    <row r="379" spans="2:2" ht="11.25" customHeight="1">
      <c r="B379" s="191" t="s">
        <v>466</v>
      </c>
    </row>
    <row r="380" spans="2:2" ht="11.25" customHeight="1">
      <c r="B380" s="191" t="s">
        <v>467</v>
      </c>
    </row>
    <row r="381" spans="2:2" ht="11.25" customHeight="1">
      <c r="B381" s="191" t="s">
        <v>685</v>
      </c>
    </row>
    <row r="382" spans="2:2" ht="11.25" customHeight="1">
      <c r="B382" s="191" t="s">
        <v>560</v>
      </c>
    </row>
    <row r="383" spans="2:2" ht="11.25" customHeight="1">
      <c r="B383" s="191" t="s">
        <v>686</v>
      </c>
    </row>
    <row r="384" spans="2:2" ht="11.25" customHeight="1">
      <c r="B384" s="191" t="s">
        <v>687</v>
      </c>
    </row>
    <row r="385" spans="2:2" ht="11.25" customHeight="1">
      <c r="B385" s="191" t="s">
        <v>688</v>
      </c>
    </row>
    <row r="386" spans="2:2" ht="11.25" customHeight="1">
      <c r="B386" s="191" t="s">
        <v>689</v>
      </c>
    </row>
    <row r="387" spans="2:2" ht="11.25" customHeight="1">
      <c r="B387" s="191" t="s">
        <v>468</v>
      </c>
    </row>
    <row r="388" spans="2:2" ht="11.25" customHeight="1">
      <c r="B388" s="191" t="s">
        <v>469</v>
      </c>
    </row>
    <row r="389" spans="2:2" ht="11.25" customHeight="1">
      <c r="B389" s="191" t="s">
        <v>690</v>
      </c>
    </row>
    <row r="390" spans="2:2" ht="11.25" customHeight="1">
      <c r="B390" s="191" t="s">
        <v>470</v>
      </c>
    </row>
    <row r="391" spans="2:2" ht="11.25" customHeight="1">
      <c r="B391" s="191" t="s">
        <v>471</v>
      </c>
    </row>
    <row r="392" spans="2:2" ht="11.25" customHeight="1">
      <c r="B392" s="191" t="s">
        <v>792</v>
      </c>
    </row>
    <row r="393" spans="2:2" ht="11.25" customHeight="1">
      <c r="B393" s="191" t="s">
        <v>691</v>
      </c>
    </row>
    <row r="394" spans="2:2" ht="11.25" customHeight="1">
      <c r="B394" s="191" t="s">
        <v>692</v>
      </c>
    </row>
    <row r="395" spans="2:2" ht="11.25" customHeight="1">
      <c r="B395" s="191" t="s">
        <v>472</v>
      </c>
    </row>
    <row r="396" spans="2:2" ht="11.25" customHeight="1">
      <c r="B396" s="191" t="s">
        <v>473</v>
      </c>
    </row>
    <row r="397" spans="2:2" ht="11.25" customHeight="1">
      <c r="B397" s="191" t="s">
        <v>474</v>
      </c>
    </row>
    <row r="398" spans="2:2" ht="11.25" customHeight="1">
      <c r="B398" s="191" t="s">
        <v>475</v>
      </c>
    </row>
    <row r="399" spans="2:2" ht="11.25" customHeight="1">
      <c r="B399" s="191" t="s">
        <v>476</v>
      </c>
    </row>
    <row r="400" spans="2:2" ht="11.25" customHeight="1">
      <c r="B400" s="191" t="s">
        <v>477</v>
      </c>
    </row>
    <row r="401" spans="2:2" ht="11.25" customHeight="1">
      <c r="B401" s="191" t="s">
        <v>478</v>
      </c>
    </row>
    <row r="402" spans="2:2" ht="11.25" customHeight="1">
      <c r="B402" s="191" t="s">
        <v>793</v>
      </c>
    </row>
    <row r="403" spans="2:2" ht="11.25" customHeight="1">
      <c r="B403" s="191" t="s">
        <v>479</v>
      </c>
    </row>
    <row r="404" spans="2:2" ht="11.25" customHeight="1">
      <c r="B404" s="191" t="s">
        <v>693</v>
      </c>
    </row>
    <row r="405" spans="2:2" ht="11.25" customHeight="1">
      <c r="B405" s="191" t="s">
        <v>481</v>
      </c>
    </row>
    <row r="406" spans="2:2" ht="11.25" customHeight="1">
      <c r="B406" s="191" t="s">
        <v>480</v>
      </c>
    </row>
    <row r="407" spans="2:2" ht="11.25" customHeight="1">
      <c r="B407" s="191" t="s">
        <v>694</v>
      </c>
    </row>
    <row r="408" spans="2:2" ht="11.25" customHeight="1">
      <c r="B408" s="191" t="s">
        <v>482</v>
      </c>
    </row>
    <row r="409" spans="2:2" ht="11.25" customHeight="1">
      <c r="B409" s="191" t="s">
        <v>695</v>
      </c>
    </row>
    <row r="410" spans="2:2" ht="11.25" customHeight="1">
      <c r="B410" s="191" t="s">
        <v>483</v>
      </c>
    </row>
    <row r="411" spans="2:2" ht="11.25" customHeight="1">
      <c r="B411" s="191" t="s">
        <v>484</v>
      </c>
    </row>
    <row r="412" spans="2:2" ht="11.25" customHeight="1">
      <c r="B412" s="191" t="s">
        <v>485</v>
      </c>
    </row>
    <row r="413" spans="2:2" ht="11.25" customHeight="1">
      <c r="B413" s="191" t="s">
        <v>696</v>
      </c>
    </row>
    <row r="414" spans="2:2" ht="11.25" customHeight="1">
      <c r="B414" s="191" t="s">
        <v>486</v>
      </c>
    </row>
    <row r="415" spans="2:2" ht="11.25" customHeight="1">
      <c r="B415" s="191" t="s">
        <v>487</v>
      </c>
    </row>
    <row r="416" spans="2:2" ht="11.25" customHeight="1">
      <c r="B416" s="191" t="s">
        <v>488</v>
      </c>
    </row>
    <row r="417" spans="2:2" ht="11.25" customHeight="1">
      <c r="B417" s="191" t="s">
        <v>697</v>
      </c>
    </row>
    <row r="418" spans="2:2" ht="11.25" customHeight="1">
      <c r="B418" s="191" t="s">
        <v>489</v>
      </c>
    </row>
    <row r="419" spans="2:2" ht="11.25" customHeight="1">
      <c r="B419" s="191" t="s">
        <v>490</v>
      </c>
    </row>
    <row r="420" spans="2:2" ht="11.25" customHeight="1">
      <c r="B420" s="191" t="s">
        <v>698</v>
      </c>
    </row>
    <row r="421" spans="2:2" ht="11.25" customHeight="1">
      <c r="B421" s="191" t="s">
        <v>492</v>
      </c>
    </row>
    <row r="422" spans="2:2" ht="11.25" customHeight="1">
      <c r="B422" s="191" t="s">
        <v>491</v>
      </c>
    </row>
    <row r="423" spans="2:2" ht="11.25" customHeight="1">
      <c r="B423" s="191" t="s">
        <v>493</v>
      </c>
    </row>
    <row r="424" spans="2:2" ht="11.25" customHeight="1">
      <c r="B424" s="191" t="s">
        <v>699</v>
      </c>
    </row>
    <row r="425" spans="2:2" ht="11.25" customHeight="1">
      <c r="B425" s="191" t="s">
        <v>561</v>
      </c>
    </row>
    <row r="426" spans="2:2" ht="11.25" customHeight="1">
      <c r="B426" s="191" t="s">
        <v>494</v>
      </c>
    </row>
    <row r="427" spans="2:2" ht="11.25" customHeight="1">
      <c r="B427" s="191" t="s">
        <v>495</v>
      </c>
    </row>
    <row r="428" spans="2:2" ht="11.25" customHeight="1">
      <c r="B428" s="191" t="s">
        <v>496</v>
      </c>
    </row>
    <row r="429" spans="2:2" ht="11.25" customHeight="1">
      <c r="B429" s="191" t="s">
        <v>497</v>
      </c>
    </row>
    <row r="430" spans="2:2" ht="11.25" customHeight="1">
      <c r="B430" s="191" t="s">
        <v>498</v>
      </c>
    </row>
    <row r="431" spans="2:2" ht="11.25" customHeight="1">
      <c r="B431" s="191" t="s">
        <v>499</v>
      </c>
    </row>
    <row r="432" spans="2:2" ht="11.25" customHeight="1">
      <c r="B432" s="191" t="s">
        <v>500</v>
      </c>
    </row>
    <row r="433" spans="2:2" ht="11.25" customHeight="1">
      <c r="B433" s="191" t="s">
        <v>501</v>
      </c>
    </row>
    <row r="434" spans="2:2" ht="11.25" customHeight="1">
      <c r="B434" s="191" t="s">
        <v>700</v>
      </c>
    </row>
    <row r="435" spans="2:2" ht="11.25" customHeight="1">
      <c r="B435" s="191" t="s">
        <v>502</v>
      </c>
    </row>
    <row r="436" spans="2:2" ht="11.25" customHeight="1">
      <c r="B436" s="191" t="s">
        <v>503</v>
      </c>
    </row>
    <row r="437" spans="2:2" ht="11.25" customHeight="1">
      <c r="B437" s="191" t="s">
        <v>504</v>
      </c>
    </row>
    <row r="438" spans="2:2" ht="11.25" customHeight="1">
      <c r="B438" s="191" t="s">
        <v>505</v>
      </c>
    </row>
    <row r="439" spans="2:2" ht="11.25" customHeight="1">
      <c r="B439" s="191" t="s">
        <v>701</v>
      </c>
    </row>
    <row r="440" spans="2:2" ht="11.25" customHeight="1">
      <c r="B440" s="191" t="s">
        <v>702</v>
      </c>
    </row>
    <row r="441" spans="2:2" ht="11.25" customHeight="1">
      <c r="B441" s="191" t="s">
        <v>506</v>
      </c>
    </row>
    <row r="442" spans="2:2" ht="11.25" customHeight="1">
      <c r="B442" s="191" t="s">
        <v>703</v>
      </c>
    </row>
    <row r="443" spans="2:2" ht="11.25" customHeight="1">
      <c r="B443" s="191" t="s">
        <v>507</v>
      </c>
    </row>
    <row r="444" spans="2:2" ht="11.25" customHeight="1">
      <c r="B444" s="191" t="s">
        <v>508</v>
      </c>
    </row>
    <row r="445" spans="2:2" ht="11.25" customHeight="1">
      <c r="B445" s="191" t="s">
        <v>704</v>
      </c>
    </row>
    <row r="446" spans="2:2" ht="11.25" customHeight="1">
      <c r="B446" s="191" t="s">
        <v>705</v>
      </c>
    </row>
    <row r="447" spans="2:2" ht="11.25" customHeight="1">
      <c r="B447" s="191" t="s">
        <v>706</v>
      </c>
    </row>
    <row r="448" spans="2:2" ht="11.25" customHeight="1">
      <c r="B448" s="191" t="s">
        <v>509</v>
      </c>
    </row>
    <row r="449" spans="2:2" ht="11.25" customHeight="1">
      <c r="B449" s="191" t="s">
        <v>510</v>
      </c>
    </row>
    <row r="450" spans="2:2" ht="11.25" customHeight="1">
      <c r="B450" s="191" t="s">
        <v>511</v>
      </c>
    </row>
    <row r="451" spans="2:2" ht="11.25" customHeight="1">
      <c r="B451" s="191" t="s">
        <v>707</v>
      </c>
    </row>
    <row r="452" spans="2:2" ht="11.25" customHeight="1">
      <c r="B452" s="191" t="s">
        <v>512</v>
      </c>
    </row>
    <row r="453" spans="2:2" ht="11.25" customHeight="1">
      <c r="B453" s="191" t="s">
        <v>513</v>
      </c>
    </row>
    <row r="454" spans="2:2" ht="11.25" customHeight="1">
      <c r="B454" s="191" t="s">
        <v>515</v>
      </c>
    </row>
    <row r="455" spans="2:2" ht="11.25" customHeight="1">
      <c r="B455" s="191" t="s">
        <v>517</v>
      </c>
    </row>
    <row r="456" spans="2:2" ht="11.25" customHeight="1">
      <c r="B456" s="191" t="s">
        <v>514</v>
      </c>
    </row>
    <row r="457" spans="2:2" ht="11.25" customHeight="1">
      <c r="B457" s="191" t="s">
        <v>518</v>
      </c>
    </row>
    <row r="458" spans="2:2" ht="11.25" customHeight="1">
      <c r="B458" s="191" t="s">
        <v>708</v>
      </c>
    </row>
    <row r="459" spans="2:2" ht="11.25" customHeight="1">
      <c r="B459" s="191" t="s">
        <v>519</v>
      </c>
    </row>
    <row r="460" spans="2:2" ht="11.25" customHeight="1">
      <c r="B460" s="191" t="s">
        <v>516</v>
      </c>
    </row>
    <row r="461" spans="2:2" ht="11.25" customHeight="1">
      <c r="B461" s="191" t="s">
        <v>520</v>
      </c>
    </row>
    <row r="462" spans="2:2" ht="11.25" customHeight="1">
      <c r="B462" s="191" t="s">
        <v>521</v>
      </c>
    </row>
    <row r="463" spans="2:2" ht="11.25" customHeight="1">
      <c r="B463" s="191" t="s">
        <v>522</v>
      </c>
    </row>
    <row r="464" spans="2:2" ht="11.25" customHeight="1">
      <c r="B464" s="191" t="s">
        <v>523</v>
      </c>
    </row>
    <row r="465" spans="2:2" ht="11.25" customHeight="1">
      <c r="B465" s="191" t="s">
        <v>525</v>
      </c>
    </row>
    <row r="466" spans="2:2" ht="11.25" customHeight="1">
      <c r="B466" s="191" t="s">
        <v>709</v>
      </c>
    </row>
    <row r="467" spans="2:2" ht="11.25" customHeight="1">
      <c r="B467" s="191" t="s">
        <v>526</v>
      </c>
    </row>
    <row r="468" spans="2:2" ht="11.25" customHeight="1">
      <c r="B468" s="191" t="s">
        <v>524</v>
      </c>
    </row>
    <row r="469" spans="2:2" ht="11.25" customHeight="1">
      <c r="B469" s="191" t="s">
        <v>528</v>
      </c>
    </row>
    <row r="470" spans="2:2" ht="11.25" customHeight="1">
      <c r="B470" s="191" t="s">
        <v>529</v>
      </c>
    </row>
    <row r="471" spans="2:2" ht="11.25" customHeight="1">
      <c r="B471" s="191" t="s">
        <v>530</v>
      </c>
    </row>
    <row r="472" spans="2:2" ht="11.25" customHeight="1">
      <c r="B472" s="191" t="s">
        <v>531</v>
      </c>
    </row>
    <row r="473" spans="2:2" ht="11.25" customHeight="1">
      <c r="B473" s="191" t="s">
        <v>532</v>
      </c>
    </row>
    <row r="474" spans="2:2" ht="11.25" customHeight="1">
      <c r="B474" s="191" t="s">
        <v>533</v>
      </c>
    </row>
    <row r="475" spans="2:2" ht="11.25" customHeight="1">
      <c r="B475" s="191" t="s">
        <v>534</v>
      </c>
    </row>
    <row r="476" spans="2:2" ht="11.25" customHeight="1">
      <c r="B476" s="191" t="s">
        <v>535</v>
      </c>
    </row>
    <row r="477" spans="2:2" ht="11.25" customHeight="1">
      <c r="B477" s="191" t="s">
        <v>710</v>
      </c>
    </row>
    <row r="478" spans="2:2" ht="11.25" customHeight="1">
      <c r="B478" s="191" t="s">
        <v>536</v>
      </c>
    </row>
    <row r="479" spans="2:2" ht="11.25" customHeight="1">
      <c r="B479" s="191" t="s">
        <v>537</v>
      </c>
    </row>
    <row r="480" spans="2:2" ht="11.25" customHeight="1">
      <c r="B480" s="191" t="s">
        <v>539</v>
      </c>
    </row>
    <row r="481" spans="2:2" ht="11.25" customHeight="1">
      <c r="B481" s="191" t="s">
        <v>540</v>
      </c>
    </row>
    <row r="482" spans="2:2" ht="11.25" customHeight="1">
      <c r="B482" s="191" t="s">
        <v>541</v>
      </c>
    </row>
    <row r="483" spans="2:2" ht="11.25" customHeight="1">
      <c r="B483" s="191" t="s">
        <v>542</v>
      </c>
    </row>
    <row r="484" spans="2:2" ht="11.25" customHeight="1">
      <c r="B484" s="191" t="s">
        <v>543</v>
      </c>
    </row>
    <row r="485" spans="2:2" ht="11.25" customHeight="1">
      <c r="B485" s="191" t="s">
        <v>544</v>
      </c>
    </row>
    <row r="486" spans="2:2" ht="11.25" customHeight="1">
      <c r="B486" s="191" t="s">
        <v>545</v>
      </c>
    </row>
    <row r="487" spans="2:2" ht="11.25" customHeight="1">
      <c r="B487" s="191" t="s">
        <v>711</v>
      </c>
    </row>
    <row r="488" spans="2:2" ht="11.25" customHeight="1">
      <c r="B488" s="191" t="s">
        <v>546</v>
      </c>
    </row>
    <row r="489" spans="2:2" ht="11.25" customHeight="1">
      <c r="B489" s="191" t="s">
        <v>538</v>
      </c>
    </row>
    <row r="490" spans="2:2" ht="11.25" customHeight="1">
      <c r="B490" s="191" t="s">
        <v>668</v>
      </c>
    </row>
    <row r="491" spans="2:2" ht="11.25" customHeight="1">
      <c r="B491" s="191" t="s">
        <v>449</v>
      </c>
    </row>
    <row r="492" spans="2:2" ht="11.25" customHeight="1">
      <c r="B492" s="191" t="s">
        <v>387</v>
      </c>
    </row>
    <row r="493" spans="2:2" ht="11.25" customHeight="1">
      <c r="B493" s="191" t="s">
        <v>357</v>
      </c>
    </row>
    <row r="494" spans="2:2" ht="11.25" customHeight="1">
      <c r="B494" s="191" t="s">
        <v>180</v>
      </c>
    </row>
    <row r="495" spans="2:2" ht="11.25" customHeight="1">
      <c r="B495" s="246" t="s">
        <v>181</v>
      </c>
    </row>
    <row r="496" spans="2:2" ht="11.25" customHeight="1">
      <c r="B496" s="246" t="s">
        <v>794</v>
      </c>
    </row>
    <row r="497" spans="2:2" ht="11.25" customHeight="1">
      <c r="B497" s="246" t="s">
        <v>795</v>
      </c>
    </row>
    <row r="498" spans="2:2" ht="11.25" customHeight="1">
      <c r="B498" s="246" t="s">
        <v>796</v>
      </c>
    </row>
    <row r="499" spans="2:2" ht="11.25" customHeight="1">
      <c r="B499" s="246" t="s">
        <v>797</v>
      </c>
    </row>
    <row r="500" spans="2:2" ht="11.25" customHeight="1">
      <c r="B500" s="246" t="s">
        <v>798</v>
      </c>
    </row>
    <row r="501" spans="2:2" ht="11.25" customHeight="1">
      <c r="B501" s="246" t="s">
        <v>799</v>
      </c>
    </row>
    <row r="502" spans="2:2" ht="11.25" customHeight="1">
      <c r="B502" s="246" t="s">
        <v>800</v>
      </c>
    </row>
    <row r="503" spans="2:2" ht="11.25" customHeight="1">
      <c r="B503" s="246" t="s">
        <v>801</v>
      </c>
    </row>
    <row r="504" spans="2:2" ht="11.25" customHeight="1">
      <c r="B504" s="293" t="s">
        <v>977</v>
      </c>
    </row>
    <row r="505" spans="2:2" ht="11.25" customHeight="1">
      <c r="B505" s="293" t="s">
        <v>978</v>
      </c>
    </row>
    <row r="506" spans="2:2" ht="11.25" customHeight="1">
      <c r="B506" s="293" t="s">
        <v>979</v>
      </c>
    </row>
    <row r="507" spans="2:2" ht="11.25" customHeight="1">
      <c r="B507" s="233"/>
    </row>
    <row r="508" spans="2:2" ht="11.25" customHeight="1">
      <c r="B508" s="233"/>
    </row>
    <row r="509" spans="2:2" ht="11.25" customHeight="1">
      <c r="B509" s="233"/>
    </row>
    <row r="510" spans="2:2" ht="11.25" customHeight="1">
      <c r="B510" s="233"/>
    </row>
    <row r="511" spans="2:2" ht="11.25" customHeight="1">
      <c r="B511" s="233"/>
    </row>
    <row r="512" spans="2:2" ht="11.25" customHeight="1">
      <c r="B512" s="233"/>
    </row>
    <row r="513" spans="2:2" ht="11.25" customHeight="1">
      <c r="B513" s="233"/>
    </row>
    <row r="514" spans="2:2" ht="11.25" customHeight="1">
      <c r="B514" s="233"/>
    </row>
    <row r="515" spans="2:2" ht="11.25" customHeight="1">
      <c r="B515" s="233"/>
    </row>
    <row r="516" spans="2:2" ht="11.25" customHeight="1">
      <c r="B516" s="233"/>
    </row>
    <row r="517" spans="2:2" ht="11.25" customHeight="1">
      <c r="B517" s="233"/>
    </row>
    <row r="518" spans="2:2" ht="11.25" customHeight="1">
      <c r="B518" s="233"/>
    </row>
    <row r="519" spans="2:2" ht="11.25" customHeight="1">
      <c r="B519" s="233"/>
    </row>
    <row r="520" spans="2:2" ht="11.25" customHeight="1">
      <c r="B520" s="233"/>
    </row>
    <row r="521" spans="2:2" ht="11.25" customHeight="1">
      <c r="B521" s="233"/>
    </row>
    <row r="522" spans="2:2" ht="11.25" customHeight="1">
      <c r="B522" s="233"/>
    </row>
    <row r="523" spans="2:2" ht="11.25" customHeight="1">
      <c r="B523" s="233"/>
    </row>
    <row r="524" spans="2:2" ht="11.25" customHeight="1">
      <c r="B524" s="233"/>
    </row>
    <row r="525" spans="2:2" ht="11.25" customHeight="1">
      <c r="B525" s="233"/>
    </row>
    <row r="526" spans="2:2" ht="11.25" customHeight="1">
      <c r="B526" s="233"/>
    </row>
    <row r="527" spans="2:2" ht="11.25" customHeight="1">
      <c r="B527" s="233"/>
    </row>
    <row r="528" spans="2:2" ht="11.25" customHeight="1">
      <c r="B528" s="233"/>
    </row>
    <row r="529" spans="2:2" ht="11.25" customHeight="1">
      <c r="B529" s="233"/>
    </row>
    <row r="530" spans="2:2" ht="11.25" customHeight="1">
      <c r="B530" s="233"/>
    </row>
    <row r="531" spans="2:2" ht="11.25" customHeight="1">
      <c r="B531" s="233"/>
    </row>
    <row r="532" spans="2:2" ht="11.25" customHeight="1">
      <c r="B532" s="233"/>
    </row>
    <row r="533" spans="2:2" ht="11.25" customHeight="1">
      <c r="B533" s="233"/>
    </row>
    <row r="534" spans="2:2" ht="11.25" customHeight="1">
      <c r="B534" s="233"/>
    </row>
    <row r="535" spans="2:2" ht="11.25" customHeight="1">
      <c r="B535" s="233"/>
    </row>
    <row r="536" spans="2:2" ht="11.25" customHeight="1">
      <c r="B536" s="233"/>
    </row>
    <row r="537" spans="2:2" ht="11.25" customHeight="1">
      <c r="B537" s="233"/>
    </row>
    <row r="538" spans="2:2" ht="11.25" customHeight="1">
      <c r="B538" s="233"/>
    </row>
    <row r="539" spans="2:2" ht="11.25" customHeight="1">
      <c r="B539" s="233"/>
    </row>
    <row r="540" spans="2:2" ht="11.25" customHeight="1">
      <c r="B540" s="233"/>
    </row>
    <row r="541" spans="2:2" ht="11.25" customHeight="1">
      <c r="B541" s="233"/>
    </row>
    <row r="542" spans="2:2" ht="11.25" customHeight="1">
      <c r="B542" s="233"/>
    </row>
    <row r="543" spans="2:2" ht="11.25" customHeight="1">
      <c r="B543" s="233"/>
    </row>
    <row r="544" spans="2:2" ht="11.25" customHeight="1">
      <c r="B544" s="233"/>
    </row>
    <row r="545" spans="2:2" ht="11.25" customHeight="1">
      <c r="B545" s="233"/>
    </row>
    <row r="546" spans="2:2" ht="11.25" customHeight="1">
      <c r="B546" s="233"/>
    </row>
    <row r="547" spans="2:2" ht="11.25" customHeight="1">
      <c r="B547" s="233"/>
    </row>
    <row r="548" spans="2:2" ht="11.25" customHeight="1">
      <c r="B548" s="233"/>
    </row>
    <row r="549" spans="2:2" ht="11.25" customHeight="1">
      <c r="B549" s="233"/>
    </row>
    <row r="550" spans="2:2" ht="11.25" customHeight="1">
      <c r="B550" s="233"/>
    </row>
    <row r="551" spans="2:2" ht="11.25" customHeight="1">
      <c r="B551" s="233"/>
    </row>
    <row r="552" spans="2:2" ht="11.25" customHeight="1">
      <c r="B552" s="233"/>
    </row>
    <row r="553" spans="2:2" ht="11.25" customHeight="1">
      <c r="B553" s="233"/>
    </row>
    <row r="554" spans="2:2" ht="11.25" customHeight="1">
      <c r="B554" s="233"/>
    </row>
    <row r="555" spans="2:2" ht="11.25" customHeight="1">
      <c r="B555" s="233"/>
    </row>
    <row r="556" spans="2:2" ht="11.25" customHeight="1">
      <c r="B556" s="233"/>
    </row>
  </sheetData>
  <phoneticPr fontId="1"/>
  <pageMargins left="0.75" right="0.75" top="1" bottom="1" header="0.51200000000000001" footer="0.51200000000000001"/>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057AE2E1F672040ABD98C034477EEE4" ma:contentTypeVersion="10" ma:contentTypeDescription="新しいドキュメントを作成します。" ma:contentTypeScope="" ma:versionID="0e545dcf7e2930bdf257be41477f4a1f">
  <xsd:schema xmlns:xsd="http://www.w3.org/2001/XMLSchema" xmlns:xs="http://www.w3.org/2001/XMLSchema" xmlns:p="http://schemas.microsoft.com/office/2006/metadata/properties" xmlns:ns2="04f264ad-6ef1-440b-9fc6-1bb68ee30737" xmlns:ns3="8b739d65-0716-4194-8b38-0fe277ea5ad6" targetNamespace="http://schemas.microsoft.com/office/2006/metadata/properties" ma:root="true" ma:fieldsID="43dbfeabc6946aa72a750423ac80ba91" ns2:_="" ns3:_="">
    <xsd:import namespace="04f264ad-6ef1-440b-9fc6-1bb68ee30737"/>
    <xsd:import namespace="8b739d65-0716-4194-8b38-0fe277ea5ad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DateTaken" minOccurs="0"/>
                <xsd:element ref="ns2:MediaServiceLocation"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f264ad-6ef1-440b-9fc6-1bb68ee307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MediaServiceAutoTags" ma:internalName="MediaServiceAutoTags"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739d65-0716-4194-8b38-0fe277ea5ad6"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5F103F-86D1-4132-9C3D-E60210AFBD9B}">
  <ds:schemaRefs>
    <ds:schemaRef ds:uri="http://purl.org/dc/dcmitype/"/>
    <ds:schemaRef ds:uri="http://www.w3.org/XML/1998/namespace"/>
    <ds:schemaRef ds:uri="http://purl.org/dc/terms/"/>
    <ds:schemaRef ds:uri="http://purl.org/dc/elements/1.1/"/>
    <ds:schemaRef ds:uri="http://schemas.microsoft.com/office/infopath/2007/PartnerControls"/>
    <ds:schemaRef ds:uri="8b739d65-0716-4194-8b38-0fe277ea5ad6"/>
    <ds:schemaRef ds:uri="http://schemas.microsoft.com/office/2006/documentManagement/types"/>
    <ds:schemaRef ds:uri="http://schemas.openxmlformats.org/package/2006/metadata/core-properties"/>
    <ds:schemaRef ds:uri="04f264ad-6ef1-440b-9fc6-1bb68ee30737"/>
    <ds:schemaRef ds:uri="http://schemas.microsoft.com/office/2006/metadata/properties"/>
  </ds:schemaRefs>
</ds:datastoreItem>
</file>

<file path=customXml/itemProps2.xml><?xml version="1.0" encoding="utf-8"?>
<ds:datastoreItem xmlns:ds="http://schemas.openxmlformats.org/officeDocument/2006/customXml" ds:itemID="{664F5B5F-1088-481D-9D3F-6F77CE75D6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f264ad-6ef1-440b-9fc6-1bb68ee30737"/>
    <ds:schemaRef ds:uri="8b739d65-0716-4194-8b38-0fe277ea5a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1A518E-68F5-49EE-A73A-76A6921CD4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10</vt:i4>
      </vt:variant>
    </vt:vector>
  </HeadingPairs>
  <TitlesOfParts>
    <vt:vector size="15" baseType="lpstr">
      <vt:lpstr>評価項目</vt:lpstr>
      <vt:lpstr>評価時間</vt:lpstr>
      <vt:lpstr>ランク判定</vt:lpstr>
      <vt:lpstr>評価観点</vt:lpstr>
      <vt:lpstr>ﾘｽﾄﾃﾞｰﾀ</vt:lpstr>
      <vt:lpstr>評価項目!Print_Area</vt:lpstr>
      <vt:lpstr>システムエラー</vt:lpstr>
      <vt:lpstr>システム名</vt:lpstr>
      <vt:lpstr>ファイル破壊</vt:lpstr>
      <vt:lpstr>集計と金額</vt:lpstr>
      <vt:lpstr>障害内容の深刻度</vt:lpstr>
      <vt:lpstr>代替手段</vt:lpstr>
      <vt:lpstr>発生頻度</vt:lpstr>
      <vt:lpstr>評価者</vt:lpstr>
      <vt:lpstr>評価履歴</vt:lpstr>
    </vt:vector>
  </TitlesOfParts>
  <Manager>松本　正彦</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前評価対応の評価報告書</dc:title>
  <dc:subject>Version 3.10</dc:subject>
  <dc:creator>松本　正彦</dc:creator>
  <cp:keywords/>
  <dc:description/>
  <cp:lastModifiedBy>yoko</cp:lastModifiedBy>
  <cp:revision/>
  <dcterms:created xsi:type="dcterms:W3CDTF">2000-07-11T05:59:55Z</dcterms:created>
  <dcterms:modified xsi:type="dcterms:W3CDTF">2020-12-16T08:45:36Z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0x010100A057AE2E1F672040ABD98C034477EEE4</vt:lpwstr>
  </property>
</Properties>
</file>